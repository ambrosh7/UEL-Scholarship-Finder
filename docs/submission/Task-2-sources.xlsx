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Scholarships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GOV.UK" sheetId="6" state="visible" r:id="rId6"/>
    <sheet xmlns:r="http://schemas.openxmlformats.org/officeDocument/2006/relationships" name="Issues" sheetId="7" state="visible" r:id="rId7"/>
  </sheets>
  <definedNames>
    <definedName name="_xlnm._FilterDatabase" localSheetId="1" hidden="1">'Courses'!$A$1:$L$18</definedName>
    <definedName name="_xlnm._FilterDatabase" localSheetId="2" hidden="1">'Scholarships'!$A$1:$D$8</definedName>
    <definedName name="_xlnm._FilterDatabase" localSheetId="3" hidden="1">'Costs'!$A$1:$F$8</definedName>
    <definedName name="_xlnm._FilterDatabase" localSheetId="4" hidden="1">'Sources'!$A$1:$F$113</definedName>
    <definedName name="_xlnm._FilterDatabase" localSheetId="5" hidden="1">'GOV.UK'!$A$1:$E$7</definedName>
    <definedName name="_xlnm._FilterDatabase" localSheetId="6" hidden="1">'Issues'!$A$1:$B$28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0.0000"/>
  </numFmts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1"/>
    </font>
    <font>
      <name val="Arial"/>
      <i val="1"/>
      <sz val="10"/>
    </font>
    <font>
      <name val="Arial"/>
      <color rgb="000000FF"/>
      <sz val="11"/>
    </font>
    <font>
      <name val="Arial"/>
      <color rgb="00008000"/>
      <sz val="11"/>
    </font>
    <font>
      <name val="Arial"/>
      <color theme="1"/>
      <sz val="11"/>
    </font>
    <font>
      <name val="Arial"/>
      <b val="1"/>
      <color rgb="001F4E79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0" borderId="0" pivotButton="0" quotePrefix="0" xfId="0"/>
    <xf numFmtId="0" fontId="7" fillId="2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Finder</author>
  </authors>
  <commentList>
    <comment ref="B8" authorId="0" shapeId="0">
      <text>
        <t>Formula. Recalculate in Excel/LibreOffice.</t>
      </text>
    </comment>
    <comment ref="B9" authorId="0" shapeId="0">
      <text>
        <t>Formula. Recalculate in Excel/LibreOffice.</t>
      </text>
    </comment>
    <comment ref="B10" authorId="0" shapeId="0">
      <text>
        <t>Formula. Recalculate in Excel/LibreOffice.</t>
      </text>
    </comment>
    <comment ref="B11" authorId="0" shapeId="0">
      <text>
        <t>Formula. Recalculate in Excel/LibreOffice.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55" customWidth="1" min="3" max="3"/>
  </cols>
  <sheetData>
    <row r="1">
      <c r="A1" s="1" t="inlineStr">
        <is>
          <t>UEL Fit &amp; Scholarship Finder — Task 2 research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Academic year</t>
        </is>
      </c>
      <c r="B3" s="4" t="inlineStr">
        <is>
          <t>2026/27</t>
        </is>
      </c>
      <c r="C3" s="2" t="n"/>
      <c r="D3" s="2" t="n"/>
      <c r="E3" s="2" t="n"/>
      <c r="F3" s="2" t="n"/>
    </row>
    <row r="4">
      <c r="A4" s="3" t="inlineStr">
        <is>
          <t>Checked on</t>
        </is>
      </c>
      <c r="B4" s="4" t="inlineStr">
        <is>
          <t>2026-10-28</t>
        </is>
      </c>
      <c r="C4" s="2" t="n"/>
      <c r="D4" s="2" t="n"/>
      <c r="E4" s="2" t="n"/>
      <c r="F4" s="2" t="n"/>
    </row>
    <row r="5">
      <c r="A5" s="3" t="inlineStr">
        <is>
          <t>Method</t>
        </is>
      </c>
      <c r="B5" s="4" t="inlineStr">
        <is>
          <t>Scrapy → live UEL check → Ambrosh GOV.UK check → RBI snapshot</t>
        </is>
      </c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3" t="inlineStr">
        <is>
          <t>Counts (formulas — update when the other tabs change)</t>
        </is>
      </c>
      <c r="B7" s="2" t="n"/>
      <c r="C7" s="2" t="n"/>
      <c r="D7" s="2" t="n"/>
      <c r="E7" s="2" t="n"/>
      <c r="F7" s="2" t="n"/>
    </row>
    <row r="8">
      <c r="A8" s="3" t="inlineStr">
        <is>
          <t>Courses in catalogue</t>
        </is>
      </c>
      <c r="B8" s="5">
        <f>COUNTA(Courses!A3:A30)</f>
        <v/>
      </c>
      <c r="C8" s="2" t="inlineStr">
        <is>
          <t>Must be at least 15</t>
        </is>
      </c>
      <c r="D8" s="2" t="n"/>
      <c r="E8" s="2" t="n"/>
      <c r="F8" s="2" t="n"/>
    </row>
    <row r="9">
      <c r="A9" s="3" t="inlineStr">
        <is>
          <t>Source rows</t>
        </is>
      </c>
      <c r="B9" s="5">
        <f>COUNTA(Sources!A:A)-1</f>
        <v/>
      </c>
      <c r="C9" s="2" t="n"/>
      <c r="D9" s="2" t="n"/>
      <c r="E9" s="2" t="n"/>
      <c r="F9" s="2" t="n"/>
    </row>
    <row r="10">
      <c r="A10" s="3" t="inlineStr">
        <is>
          <t>PLACEHOLDER cost lines</t>
        </is>
      </c>
      <c r="B10" s="5">
        <f>COUNTIF(Costs!C2:C7,"PLACEHOLDER")</f>
        <v/>
      </c>
      <c r="C10" s="2" t="inlineStr">
        <is>
          <t>Flights still PLACEHOLDER. Visa, IHS and London living sourced 2026-10-30.</t>
        </is>
      </c>
      <c r="D10" s="2" t="n"/>
      <c r="E10" s="2" t="n"/>
      <c r="F10" s="2" t="n"/>
    </row>
    <row r="11">
      <c r="A11" s="3" t="inlineStr">
        <is>
          <t>Management courses</t>
        </is>
      </c>
      <c r="B11" s="5">
        <f>COUNTIF(Courses!D3:D30,"business")</f>
        <v/>
      </c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3" t="inlineStr">
        <is>
          <t>What to fill</t>
        </is>
      </c>
      <c r="B13" s="2" t="n"/>
      <c r="C13" s="2" t="n"/>
      <c r="D13" s="2" t="n"/>
      <c r="E13" s="2" t="n"/>
      <c r="F13" s="2" t="n"/>
    </row>
    <row r="14">
      <c r="A14" s="6" t="inlineStr">
        <is>
          <t>GOV.UK visa (£558), IHS (£776/year student) and London living (£13,761 visa financial requirement) were sourced 2026-10-30. Flights stay PLACEHOLDER. Yellow cells mean still missing. Do not invent a fare.</t>
        </is>
      </c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3" t="inlineStr">
        <is>
          <t>Collection sequence</t>
        </is>
      </c>
      <c r="B18" s="2" t="n"/>
      <c r="C18" s="2" t="n"/>
      <c r="D18" s="2" t="n"/>
      <c r="E18" s="2" t="n"/>
      <c r="F18" s="2" t="n"/>
    </row>
    <row r="19">
      <c r="A19" s="6" t="inlineStr">
        <is>
          <t>1. robots.txt — course/scholarship/India paths allowed; no login.
2. Scrapy polite crawl (3s delay, 1 concurrent) into data/raw.
3. Live check of UEL facts against the page (browser sample: Business Management BSc, Computer Science BSc, International Business Management MSc, scholarships, India).
4. GOV.UK visa £558 / IHS £776 / London living £13,761 — sourced 2026-10-30.
5. RBI INR/GBP reference from rbi.org.in, 1.00pm 28 Oct 2026, 126.4657 (FBIL).</t>
        </is>
      </c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7" t="inlineStr">
        <is>
          <t>Blue text = sourced input copied from a page. Green text = formula. Yellow = Ambrosh to complete.</t>
        </is>
      </c>
      <c r="B26" s="2" t="n"/>
      <c r="C26" s="2" t="n"/>
      <c r="D26" s="2" t="n"/>
      <c r="E26" s="2" t="n"/>
      <c r="F26" s="2" t="n"/>
    </row>
  </sheetData>
  <mergeCells count="3">
    <mergeCell ref="A14:F16"/>
    <mergeCell ref="A1:F1"/>
    <mergeCell ref="A19:F2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2" customWidth="1" min="3" max="3"/>
    <col width="16" customWidth="1" min="4" max="4"/>
    <col width="28" customWidth="1" min="5" max="5"/>
    <col width="14" customWidth="1" min="6" max="6"/>
    <col width="18" customWidth="1" min="7" max="7"/>
    <col width="24" customWidth="1" min="8" max="8"/>
    <col width="16" customWidth="1" min="9" max="9"/>
    <col width="55" customWidth="1" min="10" max="10"/>
    <col width="14" customWidth="1" min="11" max="11"/>
    <col width="60" customWidth="1" min="12" max="12"/>
  </cols>
  <sheetData>
    <row r="1" ht="22" customHeight="1">
      <c r="A1" s="8" t="inlineStr">
        <is>
          <t>id</t>
        </is>
      </c>
      <c r="B1" s="8" t="inlineStr">
        <is>
          <t>title</t>
        </is>
      </c>
      <c r="C1" s="8" t="inlineStr">
        <is>
          <t>level</t>
        </is>
      </c>
      <c r="D1" s="8" t="inlineStr">
        <is>
          <t>subjectFamily</t>
        </is>
      </c>
      <c r="E1" s="8" t="inlineStr">
        <is>
          <t>campus</t>
        </is>
      </c>
      <c r="F1" s="8" t="inlineStr">
        <is>
          <t>durationYears</t>
        </is>
      </c>
      <c r="G1" s="8" t="inlineStr">
        <is>
          <t>tuitionGbpYearOne</t>
        </is>
      </c>
      <c r="H1" s="8" t="inlineStr">
        <is>
          <t>startDates</t>
        </is>
      </c>
      <c r="I1" s="8" t="inlineStr">
        <is>
          <t>indiaMinPercent</t>
        </is>
      </c>
      <c r="J1" s="8" t="inlineStr">
        <is>
          <t>sourceUrl</t>
        </is>
      </c>
      <c r="K1" s="8" t="inlineStr">
        <is>
          <t>checkedOn</t>
        </is>
      </c>
      <c r="L1" s="8" t="inlineStr">
        <is>
          <t>issues</t>
        </is>
      </c>
    </row>
    <row r="2" ht="18" customHeight="1">
      <c r="A2" s="9" t="inlineStr">
        <is>
          <t>Catalogue the app reads. Tuition is GBP for 2026/27 international full-time year one.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</row>
    <row r="3" ht="36" customHeight="1">
      <c r="A3" s="9" t="inlineStr">
        <is>
          <t>bsc-business-management</t>
        </is>
      </c>
      <c r="B3" s="9" t="inlineStr">
        <is>
          <t>Business Management BSc (Hons)</t>
        </is>
      </c>
      <c r="C3" s="9" t="inlineStr">
        <is>
          <t>undergraduate</t>
        </is>
      </c>
      <c r="D3" s="9" t="inlineStr">
        <is>
          <t>business</t>
        </is>
      </c>
      <c r="E3" s="9" t="inlineStr">
        <is>
          <t>University Square Stratford</t>
        </is>
      </c>
      <c r="F3" s="9" t="n">
        <v>3</v>
      </c>
      <c r="G3" s="10" t="n">
        <v>16020</v>
      </c>
      <c r="H3" s="9" t="inlineStr">
        <is>
          <t>2027-01,2027-09</t>
        </is>
      </c>
      <c r="I3" s="9" t="n">
        <v>60</v>
      </c>
      <c r="J3" s="9" t="inlineStr">
        <is>
          <t>https://www.uel.ac.uk/undergraduate/courses/bsc-hons-business-management</t>
        </is>
      </c>
      <c r="K3" s="9" t="inlineStr">
        <is>
          <t>2026-10-28</t>
        </is>
      </c>
      <c r="L3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4" ht="36" customHeight="1">
      <c r="A4" s="9" t="inlineStr">
        <is>
          <t>bsc-marketing</t>
        </is>
      </c>
      <c r="B4" s="9" t="inlineStr">
        <is>
          <t>Marketing BSc (Hons)</t>
        </is>
      </c>
      <c r="C4" s="9" t="inlineStr">
        <is>
          <t>undergraduate</t>
        </is>
      </c>
      <c r="D4" s="9" t="inlineStr">
        <is>
          <t>business</t>
        </is>
      </c>
      <c r="E4" s="9" t="inlineStr">
        <is>
          <t>University Square Stratford</t>
        </is>
      </c>
      <c r="F4" s="9" t="n">
        <v>3</v>
      </c>
      <c r="G4" s="10" t="n">
        <v>16020</v>
      </c>
      <c r="H4" s="9" t="inlineStr">
        <is>
          <t>2027-01,2027-09</t>
        </is>
      </c>
      <c r="I4" s="9" t="n">
        <v>60</v>
      </c>
      <c r="J4" s="9" t="inlineStr">
        <is>
          <t>https://www.uel.ac.uk/undergraduate/courses/bsc-hons-marketing</t>
        </is>
      </c>
      <c r="K4" s="9" t="inlineStr">
        <is>
          <t>2026-10-28</t>
        </is>
      </c>
      <c r="L4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5" ht="36" customHeight="1">
      <c r="A5" s="9" t="inlineStr">
        <is>
          <t>bsc-accounting-finance</t>
        </is>
      </c>
      <c r="B5" s="9" t="inlineStr">
        <is>
          <t>Accounting and Finance BSc (Hons)</t>
        </is>
      </c>
      <c r="C5" s="9" t="inlineStr">
        <is>
          <t>undergraduate</t>
        </is>
      </c>
      <c r="D5" s="9" t="inlineStr">
        <is>
          <t>business</t>
        </is>
      </c>
      <c r="E5" s="9" t="inlineStr">
        <is>
          <t>University Square Stratford</t>
        </is>
      </c>
      <c r="F5" s="9" t="n">
        <v>3</v>
      </c>
      <c r="G5" s="10" t="n">
        <v>16020</v>
      </c>
      <c r="H5" s="9" t="inlineStr">
        <is>
          <t>2027-01,2027-09</t>
        </is>
      </c>
      <c r="I5" s="9" t="n">
        <v>60</v>
      </c>
      <c r="J5" s="9" t="inlineStr">
        <is>
          <t>https://www.uel.ac.uk/undergraduate/courses/bsc-hons-accounting-finance</t>
        </is>
      </c>
      <c r="K5" s="9" t="inlineStr">
        <is>
          <t>2026-10-28</t>
        </is>
      </c>
      <c r="L5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6" ht="36" customHeight="1">
      <c r="A6" s="9" t="inlineStr">
        <is>
          <t>bsc-accounting-business-management</t>
        </is>
      </c>
      <c r="B6" s="9" t="inlineStr">
        <is>
          <t>Accounting and Business Management BSc (Hons)</t>
        </is>
      </c>
      <c r="C6" s="9" t="inlineStr">
        <is>
          <t>undergraduate</t>
        </is>
      </c>
      <c r="D6" s="9" t="inlineStr">
        <is>
          <t>business</t>
        </is>
      </c>
      <c r="E6" s="9" t="inlineStr">
        <is>
          <t>University Square Stratford</t>
        </is>
      </c>
      <c r="F6" s="9" t="n">
        <v>3</v>
      </c>
      <c r="G6" s="10" t="n">
        <v>16020</v>
      </c>
      <c r="H6" s="9" t="inlineStr"/>
      <c r="I6" s="9" t="n">
        <v>60</v>
      </c>
      <c r="J6" s="9" t="inlineStr">
        <is>
          <t>https://www.uel.ac.uk/undergraduate/courses/bsc-hons-accounting-business-management</t>
        </is>
      </c>
      <c r="K6" s="9" t="inlineStr">
        <is>
          <t>2026-10-28</t>
        </is>
      </c>
      <c r="L6" s="9" t="inlineStr">
        <is>
          <t>Swapped in for International Business UG: UEL publishes International Business Management as a one-year top-up, not a full bachelor's. | Course page international fee is TBC. Figure taken from UEL Fees Schedule 2026/27 international undergraduate headline £16,020 (all schools except listed nursing exceptions). | JSON-LD on this page did not list international start dates. Not invented.</t>
        </is>
      </c>
    </row>
    <row r="7" ht="36" customHeight="1">
      <c r="A7" s="9" t="inlineStr">
        <is>
          <t>bsc-business-economics</t>
        </is>
      </c>
      <c r="B7" s="9" t="inlineStr">
        <is>
          <t>Business Economics BSc (Hons)</t>
        </is>
      </c>
      <c r="C7" s="9" t="inlineStr">
        <is>
          <t>undergraduate</t>
        </is>
      </c>
      <c r="D7" s="9" t="inlineStr">
        <is>
          <t>business</t>
        </is>
      </c>
      <c r="E7" s="9" t="inlineStr">
        <is>
          <t>University Square Stratford</t>
        </is>
      </c>
      <c r="F7" s="9" t="n">
        <v>3</v>
      </c>
      <c r="G7" s="10" t="n">
        <v>16020</v>
      </c>
      <c r="H7" s="9" t="inlineStr"/>
      <c r="I7" s="9" t="n">
        <v>60</v>
      </c>
      <c r="J7" s="9" t="inlineStr">
        <is>
          <t>https://www.uel.ac.uk/undergraduate/courses/bsc-hons-business-economics</t>
        </is>
      </c>
      <c r="K7" s="9" t="inlineStr">
        <is>
          <t>2026-10-28</t>
        </is>
      </c>
      <c r="L7" s="9" t="inlineStr">
        <is>
          <t>Course page international fee is TBC. Figure taken from UEL Fees Schedule 2026/27 international undergraduate headline £16,020 (all schools except listed nursing exceptions). | JSON-LD on this page did not list international start dates. Not invented.</t>
        </is>
      </c>
    </row>
    <row r="8" ht="36" customHeight="1">
      <c r="A8" s="9" t="inlineStr">
        <is>
          <t>msc-international-business-management</t>
        </is>
      </c>
      <c r="B8" s="9" t="inlineStr">
        <is>
          <t>International Business Management MSc</t>
        </is>
      </c>
      <c r="C8" s="9" t="inlineStr">
        <is>
          <t>postgraduate-taught</t>
        </is>
      </c>
      <c r="D8" s="9" t="inlineStr">
        <is>
          <t>business</t>
        </is>
      </c>
      <c r="E8" s="9" t="inlineStr">
        <is>
          <t>University Square Stratford</t>
        </is>
      </c>
      <c r="F8" s="9" t="n">
        <v>1</v>
      </c>
      <c r="G8" s="10" t="n">
        <v>17700</v>
      </c>
      <c r="H8" s="9" t="inlineStr">
        <is>
          <t>2026-09,2027-01,2027-05</t>
        </is>
      </c>
      <c r="I8" s="9" t="n">
        <v>50</v>
      </c>
      <c r="J8" s="9" t="inlineStr">
        <is>
          <t>https://www.uel.ac.uk/postgraduate/courses/msc-international-business-management</t>
        </is>
      </c>
      <c r="K8" s="9" t="inlineStr">
        <is>
          <t>2026-10-28</t>
        </is>
      </c>
      <c r="L8" s="9" t="inlineStr">
        <is>
          <t>JSON-LD start dates on the course page are 2027 (and some 2026-09 / 2027-05 for PGT). Checked 2026-10-28, after the September 2026 teaching start. Fees still match the 2026/27 schedule. | Campus section describes both Docklands and University Square Stratford. USS is stored as the RDSBL/MBA campus named on the page; Docklands is also mentioned.</t>
        </is>
      </c>
    </row>
    <row r="9" ht="36" customHeight="1">
      <c r="A9" s="9" t="inlineStr">
        <is>
          <t>msc-marketing</t>
        </is>
      </c>
      <c r="B9" s="9" t="inlineStr">
        <is>
          <t>Marketing MSc</t>
        </is>
      </c>
      <c r="C9" s="9" t="inlineStr">
        <is>
          <t>postgraduate-taught</t>
        </is>
      </c>
      <c r="D9" s="9" t="inlineStr">
        <is>
          <t>business</t>
        </is>
      </c>
      <c r="E9" s="9" t="inlineStr">
        <is>
          <t>University Square Stratford</t>
        </is>
      </c>
      <c r="F9" s="9" t="n">
        <v>1</v>
      </c>
      <c r="G9" s="10" t="n">
        <v>18900</v>
      </c>
      <c r="H9" s="9" t="inlineStr">
        <is>
          <t>2026-09,2027-01</t>
        </is>
      </c>
      <c r="I9" s="9" t="n">
        <v>50</v>
      </c>
      <c r="J9" s="9" t="inlineStr">
        <is>
          <t>https://www.uel.ac.uk/postgraduate/courses/msc-marketing</t>
        </is>
      </c>
      <c r="K9" s="9" t="inlineStr">
        <is>
          <t>2026-10-28</t>
        </is>
      </c>
      <c r="L9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0" ht="36" customHeight="1">
      <c r="A10" s="9" t="inlineStr">
        <is>
          <t>mba</t>
        </is>
      </c>
      <c r="B10" s="9" t="inlineStr">
        <is>
          <t>Master of Business Administration MBA</t>
        </is>
      </c>
      <c r="C10" s="9" t="inlineStr">
        <is>
          <t>postgraduate-taught</t>
        </is>
      </c>
      <c r="D10" s="9" t="inlineStr">
        <is>
          <t>business</t>
        </is>
      </c>
      <c r="E10" s="9" t="inlineStr">
        <is>
          <t>University Square Stratford</t>
        </is>
      </c>
      <c r="F10" s="9" t="n">
        <v>1</v>
      </c>
      <c r="G10" s="10" t="n">
        <v>19500</v>
      </c>
      <c r="H10" s="9" t="inlineStr">
        <is>
          <t>2026-09,2027-01,2027-05</t>
        </is>
      </c>
      <c r="I10" s="9" t="n">
        <v>50</v>
      </c>
      <c r="J10" s="9" t="inlineStr">
        <is>
          <t>https://www.uel.ac.uk/postgraduate/courses/mba-master-business-administration</t>
        </is>
      </c>
      <c r="K10" s="9" t="inlineStr">
        <is>
          <t>2026-10-28</t>
        </is>
      </c>
      <c r="L10" s="9" t="inlineStr">
        <is>
          <t>JSON-LD start dates on the course page are 2027 (and some 2026-09 / 2027-05 for PGT). Checked 2026-10-28, after the September 2026 teaching start. Fees still match the 2026/27 schedule. | Page says USS is the base for the MBA and also describes an MBA suite at Docklands. Stored campus is University Square Stratford.</t>
        </is>
      </c>
    </row>
    <row r="11" ht="36" customHeight="1">
      <c r="A11" s="9" t="inlineStr">
        <is>
          <t>msc-human-resource-management</t>
        </is>
      </c>
      <c r="B11" s="9" t="inlineStr">
        <is>
          <t>Human Resource Management MSc</t>
        </is>
      </c>
      <c r="C11" s="9" t="inlineStr">
        <is>
          <t>postgraduate-taught</t>
        </is>
      </c>
      <c r="D11" s="9" t="inlineStr">
        <is>
          <t>business</t>
        </is>
      </c>
      <c r="E11" s="9" t="inlineStr">
        <is>
          <t>University Square Stratford</t>
        </is>
      </c>
      <c r="F11" s="9" t="n">
        <v>1</v>
      </c>
      <c r="G11" s="10" t="n">
        <v>17220</v>
      </c>
      <c r="H11" s="9" t="inlineStr">
        <is>
          <t>2026-09,2027-01,2027-05</t>
        </is>
      </c>
      <c r="I11" s="9" t="n">
        <v>50</v>
      </c>
      <c r="J11" s="9" t="inlineStr">
        <is>
          <t>https://www.uel.ac.uk/postgraduate/courses/msc-human-resource-management</t>
        </is>
      </c>
      <c r="K11" s="9" t="inlineStr">
        <is>
          <t>2026-10-28</t>
        </is>
      </c>
      <c r="L11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2" ht="36" customHeight="1">
      <c r="A12" s="9" t="inlineStr">
        <is>
          <t>bsc-computer-science</t>
        </is>
      </c>
      <c r="B12" s="9" t="inlineStr">
        <is>
          <t>Computer Science BSc (Hons)</t>
        </is>
      </c>
      <c r="C12" s="9" t="inlineStr">
        <is>
          <t>undergraduate</t>
        </is>
      </c>
      <c r="D12" s="9" t="inlineStr">
        <is>
          <t>computing</t>
        </is>
      </c>
      <c r="E12" s="9" t="inlineStr">
        <is>
          <t>Docklands</t>
        </is>
      </c>
      <c r="F12" s="9" t="n">
        <v>3</v>
      </c>
      <c r="G12" s="10" t="n">
        <v>16020</v>
      </c>
      <c r="H12" s="9" t="inlineStr">
        <is>
          <t>2027-01,2027-09</t>
        </is>
      </c>
      <c r="I12" s="9" t="n">
        <v>60</v>
      </c>
      <c r="J12" s="9" t="inlineStr">
        <is>
          <t>https://www.uel.ac.uk/undergraduate/courses/bsc-hons-computer-science</t>
        </is>
      </c>
      <c r="K12" s="9" t="inlineStr">
        <is>
          <t>2026-10-28</t>
        </is>
      </c>
      <c r="L12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3" ht="36" customHeight="1">
      <c r="A13" s="9" t="inlineStr">
        <is>
          <t>msc-computer-science</t>
        </is>
      </c>
      <c r="B13" s="9" t="inlineStr">
        <is>
          <t>Computer Science MSc</t>
        </is>
      </c>
      <c r="C13" s="9" t="inlineStr">
        <is>
          <t>postgraduate-taught</t>
        </is>
      </c>
      <c r="D13" s="9" t="inlineStr">
        <is>
          <t>computing</t>
        </is>
      </c>
      <c r="E13" s="9" t="inlineStr">
        <is>
          <t>Docklands</t>
        </is>
      </c>
      <c r="F13" s="9" t="n">
        <v>1</v>
      </c>
      <c r="G13" s="10" t="n">
        <v>17220</v>
      </c>
      <c r="H13" s="9" t="inlineStr">
        <is>
          <t>2026-09,2027-01,2027-05</t>
        </is>
      </c>
      <c r="I13" s="9" t="n">
        <v>50</v>
      </c>
      <c r="J13" s="9" t="inlineStr">
        <is>
          <t>https://www.uel.ac.uk/postgraduate/courses/msc-computer-science</t>
        </is>
      </c>
      <c r="K13" s="9" t="inlineStr">
        <is>
          <t>2026-10-28</t>
        </is>
      </c>
      <c r="L13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4" ht="36" customHeight="1">
      <c r="A14" s="9" t="inlineStr">
        <is>
          <t>msc-data-science</t>
        </is>
      </c>
      <c r="B14" s="9" t="inlineStr">
        <is>
          <t>Data Science MSc</t>
        </is>
      </c>
      <c r="C14" s="9" t="inlineStr">
        <is>
          <t>postgraduate-taught</t>
        </is>
      </c>
      <c r="D14" s="9" t="inlineStr">
        <is>
          <t>computing</t>
        </is>
      </c>
      <c r="E14" s="9" t="inlineStr">
        <is>
          <t>Docklands</t>
        </is>
      </c>
      <c r="F14" s="9" t="n">
        <v>1</v>
      </c>
      <c r="G14" s="10" t="n">
        <v>17220</v>
      </c>
      <c r="H14" s="9" t="inlineStr">
        <is>
          <t>2026-09,2027-01</t>
        </is>
      </c>
      <c r="I14" s="9" t="n">
        <v>50</v>
      </c>
      <c r="J14" s="9" t="inlineStr">
        <is>
          <t>https://www.uel.ac.uk/postgraduate/courses/msc-data-science</t>
        </is>
      </c>
      <c r="K14" s="9" t="inlineStr">
        <is>
          <t>2026-10-28</t>
        </is>
      </c>
      <c r="L14" s="9" t="inlineStr">
        <is>
          <t>JSON-LD start dates on the course page are 2027 (and some 2026-09 / 2027-05 for PGT). Checked 2026-10-28, after the September 2026 teaching start. Fees still match the 2026/27 schedule. | Any-subject 2:2 on this MSc is different from Computer Science MSc, which asks for a computing degree.</t>
        </is>
      </c>
    </row>
    <row r="15" ht="36" customHeight="1">
      <c r="A15" s="9" t="inlineStr">
        <is>
          <t>beng-civil-engineering</t>
        </is>
      </c>
      <c r="B15" s="9" t="inlineStr">
        <is>
          <t>Civil Engineering BEng (Hons)</t>
        </is>
      </c>
      <c r="C15" s="9" t="inlineStr">
        <is>
          <t>undergraduate</t>
        </is>
      </c>
      <c r="D15" s="9" t="inlineStr">
        <is>
          <t>engineering</t>
        </is>
      </c>
      <c r="E15" s="9" t="inlineStr">
        <is>
          <t>Docklands</t>
        </is>
      </c>
      <c r="F15" s="9" t="n">
        <v>3</v>
      </c>
      <c r="G15" s="10" t="n">
        <v>16020</v>
      </c>
      <c r="H15" s="9" t="inlineStr">
        <is>
          <t>2027-01,2027-09</t>
        </is>
      </c>
      <c r="I15" s="9" t="n">
        <v>60</v>
      </c>
      <c r="J15" s="9" t="inlineStr">
        <is>
          <t>https://www.uel.ac.uk/undergraduate/courses/beng-hons-civil-engineering</t>
        </is>
      </c>
      <c r="K15" s="9" t="inlineStr">
        <is>
          <t>2026-10-28</t>
        </is>
      </c>
      <c r="L15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6" ht="36" customHeight="1">
      <c r="A16" s="9" t="inlineStr">
        <is>
          <t>beng-mechanical-engineering</t>
        </is>
      </c>
      <c r="B16" s="9" t="inlineStr">
        <is>
          <t>Mechanical Engineering BEng (Hons)</t>
        </is>
      </c>
      <c r="C16" s="9" t="inlineStr">
        <is>
          <t>undergraduate</t>
        </is>
      </c>
      <c r="D16" s="9" t="inlineStr">
        <is>
          <t>engineering</t>
        </is>
      </c>
      <c r="E16" s="9" t="inlineStr">
        <is>
          <t>Docklands</t>
        </is>
      </c>
      <c r="F16" s="9" t="n">
        <v>3</v>
      </c>
      <c r="G16" s="10" t="n">
        <v>16020</v>
      </c>
      <c r="H16" s="9" t="inlineStr">
        <is>
          <t>2027-09</t>
        </is>
      </c>
      <c r="I16" s="9" t="n">
        <v>60</v>
      </c>
      <c r="J16" s="9" t="inlineStr">
        <is>
          <t>https://www.uel.ac.uk/undergraduate/courses/beng-hons-mechanical-engineering</t>
        </is>
      </c>
      <c r="K16" s="9" t="inlineStr">
        <is>
          <t>2026-10-28</t>
        </is>
      </c>
      <c r="L16" s="9" t="inlineStr">
        <is>
          <t>JSON-LD start dates on the course page are 2027 (and some 2026-09 / 2027-05 for PGT). Checked 2026-10-28, after the September 2026 teaching start. Fees still match the 2026/27 schedule. | Course page international fee is TBC. Figure taken from UEL Fees Schedule 2026/27 international undergraduate headline £16,020 (all schools except listed nursing exceptions).</t>
        </is>
      </c>
    </row>
    <row r="17" ht="36" customHeight="1">
      <c r="A17" s="9" t="inlineStr">
        <is>
          <t>bsc-psychology</t>
        </is>
      </c>
      <c r="B17" s="9" t="inlineStr">
        <is>
          <t>Psychology BSc (Hons)</t>
        </is>
      </c>
      <c r="C17" s="9" t="inlineStr">
        <is>
          <t>undergraduate</t>
        </is>
      </c>
      <c r="D17" s="9" t="inlineStr">
        <is>
          <t>other</t>
        </is>
      </c>
      <c r="E17" s="9" t="inlineStr">
        <is>
          <t>Stratford</t>
        </is>
      </c>
      <c r="F17" s="9" t="n">
        <v>3</v>
      </c>
      <c r="G17" s="10" t="n">
        <v>16020</v>
      </c>
      <c r="H17" s="9" t="inlineStr">
        <is>
          <t>2027-09</t>
        </is>
      </c>
      <c r="I17" s="9" t="n">
        <v>60</v>
      </c>
      <c r="J17" s="9" t="inlineStr">
        <is>
          <t>https://www.uel.ac.uk/undergraduate/courses/bsc-hons-psychology</t>
        </is>
      </c>
      <c r="K17" s="9" t="inlineStr">
        <is>
          <t>2026-10-28</t>
        </is>
      </c>
      <c r="L17" s="9" t="inlineStr">
        <is>
          <t>JSON-LD start dates on the course page are 2027 (and some 2026-09 / 2027-05 for PGT). Checked 2026-10-28, after the September 2026 teaching start. Fees still match the 2026/27 schedule. | Course page international fee is TBC. Figure taken from UEL Fees Schedule 2026/27 international undergraduate headline £16,020 (all schools except listed nursing exceptions).</t>
        </is>
      </c>
    </row>
    <row r="18" ht="36" customHeight="1">
      <c r="A18" s="9" t="inlineStr">
        <is>
          <t>llb-law</t>
        </is>
      </c>
      <c r="B18" s="9" t="inlineStr">
        <is>
          <t>Law LLB (Hons)</t>
        </is>
      </c>
      <c r="C18" s="9" t="inlineStr">
        <is>
          <t>undergraduate</t>
        </is>
      </c>
      <c r="D18" s="9" t="inlineStr">
        <is>
          <t>law</t>
        </is>
      </c>
      <c r="E18" s="9" t="inlineStr">
        <is>
          <t>University Square Stratford</t>
        </is>
      </c>
      <c r="F18" s="9" t="n">
        <v>3</v>
      </c>
      <c r="G18" s="10" t="n">
        <v>16020</v>
      </c>
      <c r="H18" s="9" t="inlineStr">
        <is>
          <t>2027-01,2027-09</t>
        </is>
      </c>
      <c r="I18" s="9" t="n">
        <v>60</v>
      </c>
      <c r="J18" s="9" t="inlineStr">
        <is>
          <t>https://www.uel.ac.uk/undergraduate/courses/llb-hons-law</t>
        </is>
      </c>
      <c r="K18" s="9" t="inlineStr">
        <is>
          <t>2026-10-28</t>
        </is>
      </c>
      <c r="L18" s="9" t="inlineStr">
        <is>
          <t>JSON-LD start dates on the course page are 2027 (and some 2026-09 / 2027-05 for PGT). Checked 2026-10-28, after the September 2026 teaching start. Fees still match the 2026/27 schedule.</t>
        </is>
      </c>
    </row>
  </sheetData>
  <autoFilter ref="A1:L18"/>
  <mergeCells count="1">
    <mergeCell ref="A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70" customWidth="1" min="3" max="3"/>
    <col width="14" customWidth="1" min="4" max="4"/>
  </cols>
  <sheetData>
    <row r="1" ht="22" customHeight="1">
      <c r="A1" s="8" t="inlineStr">
        <is>
          <t>field</t>
        </is>
      </c>
      <c r="B1" s="8" t="inlineStr">
        <is>
          <t>value</t>
        </is>
      </c>
      <c r="C1" s="8" t="inlineStr">
        <is>
          <t>url</t>
        </is>
      </c>
      <c r="D1" s="8" t="inlineStr">
        <is>
          <t>checkedOn</t>
        </is>
      </c>
    </row>
    <row r="2" ht="36" customHeight="1">
      <c r="A2" s="9" t="inlineStr">
        <is>
          <t>id</t>
        </is>
      </c>
      <c r="B2" s="9" t="inlineStr">
        <is>
          <t>uel-international-scholarship</t>
        </is>
      </c>
      <c r="C2" s="9" t="inlineStr">
        <is>
          <t>https://www.uel.ac.uk/study/fees-funding/international-fees-funding/international-scholarships</t>
        </is>
      </c>
      <c r="D2" s="9" t="inlineStr">
        <is>
          <t>2026-10-28</t>
        </is>
      </c>
    </row>
    <row r="3" ht="36" customHeight="1">
      <c r="A3" s="9" t="inlineStr">
        <is>
          <t>amountMinGbp</t>
        </is>
      </c>
      <c r="B3" s="10" t="n">
        <v>500</v>
      </c>
      <c r="C3" s="9" t="inlineStr">
        <is>
          <t>https://www.uel.ac.uk/study/fees-funding/international-fees-funding/international-scholarships</t>
        </is>
      </c>
      <c r="D3" s="9" t="inlineStr">
        <is>
          <t>2026-10-28</t>
        </is>
      </c>
    </row>
    <row r="4" ht="36" customHeight="1">
      <c r="A4" s="9" t="inlineStr">
        <is>
          <t>amountMaxGbp</t>
        </is>
      </c>
      <c r="B4" s="10" t="n">
        <v>5000</v>
      </c>
      <c r="C4" s="9" t="inlineStr">
        <is>
          <t>https://www.uel.ac.uk/study/fees-funding/international-fees-funding/international-scholarships</t>
        </is>
      </c>
      <c r="D4" s="9" t="inlineStr">
        <is>
          <t>2026-10-28</t>
        </is>
      </c>
    </row>
    <row r="5" ht="36" customHeight="1">
      <c r="A5" s="9" t="inlineStr">
        <is>
          <t>appliesTo</t>
        </is>
      </c>
      <c r="B5" s="9" t="inlineStr">
        <is>
          <t>first-year-tuition</t>
        </is>
      </c>
      <c r="C5" s="9" t="inlineStr">
        <is>
          <t>https://www.uel.ac.uk/study/fees-funding/international-fees-funding/international-scholarships</t>
        </is>
      </c>
      <c r="D5" s="9" t="inlineStr">
        <is>
          <t>2026-10-28</t>
        </is>
      </c>
    </row>
    <row r="6" ht="36" customHeight="1">
      <c r="A6" s="9" t="inlineStr">
        <is>
          <t>autoAssessed</t>
        </is>
      </c>
      <c r="B6" s="9" t="inlineStr">
        <is>
          <t>TRUE</t>
        </is>
      </c>
      <c r="C6" s="9" t="inlineStr">
        <is>
          <t>https://www.uel.ac.uk/study/fees-funding/international-fees-funding/international-scholarships</t>
        </is>
      </c>
      <c r="D6" s="9" t="inlineStr">
        <is>
          <t>2026-10-28</t>
        </is>
      </c>
    </row>
    <row r="7" ht="36" customHeight="1">
      <c r="A7" s="9" t="inlineStr">
        <is>
          <t>requiresOffer</t>
        </is>
      </c>
      <c r="B7" s="9" t="inlineStr">
        <is>
          <t>TRUE</t>
        </is>
      </c>
      <c r="C7" s="9" t="inlineStr">
        <is>
          <t>https://www.uel.ac.uk/study/fees-funding/international-fees-funding/international-scholarships</t>
        </is>
      </c>
      <c r="D7" s="9" t="inlineStr">
        <is>
          <t>2026-10-28</t>
        </is>
      </c>
    </row>
    <row r="8" ht="36" customHeight="1">
      <c r="A8" s="9" t="inlineStr">
        <is>
          <t>rangeLabel</t>
        </is>
      </c>
      <c r="B8" s="11">
        <f>CONCATENATE("£",B3,"–£",TEXT(B4,"#,##0")," off first-year tuition")</f>
        <v/>
      </c>
      <c r="C8" s="9" t="inlineStr">
        <is>
          <t>https://www.uel.ac.uk/study/fees-funding/international-fees-funding/international-scholarships</t>
        </is>
      </c>
      <c r="D8" s="9" t="inlineStr">
        <is>
          <t>2026-10-28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70" customWidth="1" min="4" max="4"/>
    <col width="14" customWidth="1" min="5" max="5"/>
    <col width="55" customWidth="1" min="6" max="6"/>
  </cols>
  <sheetData>
    <row r="1" ht="22" customHeight="1">
      <c r="A1" s="8" t="inlineStr">
        <is>
          <t>line</t>
        </is>
      </c>
      <c r="B1" s="8" t="inlineStr">
        <is>
          <t>who</t>
        </is>
      </c>
      <c r="C1" s="8" t="inlineStr">
        <is>
          <t>valueGbp</t>
        </is>
      </c>
      <c r="D1" s="8" t="inlineStr">
        <is>
          <t>url</t>
        </is>
      </c>
      <c r="E1" s="8" t="inlineStr">
        <is>
          <t>checkedOn</t>
        </is>
      </c>
      <c r="F1" s="8" t="inlineStr">
        <is>
          <t>notes</t>
        </is>
      </c>
    </row>
    <row r="2" ht="36" customHeight="1">
      <c r="A2" s="9" t="inlineStr">
        <is>
          <t>londonLivingGbp</t>
        </is>
      </c>
      <c r="B2" s="9" t="inlineStr">
        <is>
          <t>GOV.UK</t>
        </is>
      </c>
      <c r="C2" s="10" t="n">
        <v>13761</v>
      </c>
      <c r="D2" s="9" t="inlineStr">
        <is>
          <t>https://www.gov.uk/student-visa/money</t>
        </is>
      </c>
      <c r="E2" s="9" t="inlineStr">
        <is>
          <t>2026-10-30</t>
        </is>
      </c>
      <c r="F2" s="9" t="inlineStr">
        <is>
          <t>Visa financial requirement £1,529 × 9 months. Not a personal spend forecast; not extra rent on halls.</t>
        </is>
      </c>
    </row>
    <row r="3" ht="36" customHeight="1">
      <c r="A3" s="9" t="inlineStr">
        <is>
          <t>visaGbp</t>
        </is>
      </c>
      <c r="B3" s="9" t="inlineStr">
        <is>
          <t>GOV.UK</t>
        </is>
      </c>
      <c r="C3" s="10" t="n">
        <v>558</v>
      </c>
      <c r="D3" s="9" t="inlineStr">
        <is>
          <t>https://www.gov.uk/student-visa</t>
        </is>
      </c>
      <c r="E3" s="9" t="inlineStr">
        <is>
          <t>2026-10-30</t>
        </is>
      </c>
      <c r="F3" s="9" t="inlineStr">
        <is>
          <t>Student visa from outside the UK.</t>
        </is>
      </c>
    </row>
    <row r="4" ht="36" customHeight="1">
      <c r="A4" s="9" t="inlineStr">
        <is>
          <t>ihsGbp</t>
        </is>
      </c>
      <c r="B4" s="9" t="inlineStr">
        <is>
          <t>GOV.UK</t>
        </is>
      </c>
      <c r="C4" s="10" t="n">
        <v>776</v>
      </c>
      <c r="D4" s="9" t="inlineStr">
        <is>
          <t>https://www.gov.uk/healthcare-immigration-application/how-much-pay</t>
        </is>
      </c>
      <c r="E4" s="9" t="inlineStr">
        <is>
          <t>2026-10-30</t>
        </is>
      </c>
      <c r="F4" s="9" t="inlineStr">
        <is>
          <t>Student IHS rate per year. Year-one stack uses one year.</t>
        </is>
      </c>
    </row>
    <row r="5" ht="36" customHeight="1">
      <c r="A5" s="9" t="inlineStr">
        <is>
          <t>depositGbp</t>
        </is>
      </c>
      <c r="B5" s="9" t="inlineStr">
        <is>
          <t>Build</t>
        </is>
      </c>
      <c r="C5" s="10" t="n">
        <v>1500</v>
      </c>
      <c r="D5" s="9" t="inlineStr">
        <is>
          <t>https://www.uel.ac.uk/study/fees-funding/paying-your-fees-international-students</t>
        </is>
      </c>
      <c r="E5" s="9" t="inlineStr">
        <is>
          <t>2026-10-28</t>
        </is>
      </c>
      <c r="F5" s="9" t="inlineStr">
        <is>
          <t>£1,500 starts pre-CAS; full amount is in the offer letter.</t>
        </is>
      </c>
    </row>
    <row r="6" ht="36" customHeight="1">
      <c r="A6" s="9" t="inlineStr">
        <is>
          <t>accommodationGbp</t>
        </is>
      </c>
      <c r="B6" s="9" t="inlineStr">
        <is>
          <t>Build</t>
        </is>
      </c>
      <c r="C6" s="10" t="n">
        <v>8010</v>
      </c>
      <c r="D6" s="9" t="inlineStr">
        <is>
          <t>https://www.uel.ac.uk/study/accommodation/room-types-prices-payment-plans</t>
        </is>
      </c>
      <c r="E6" s="9" t="inlineStr">
        <is>
          <t>2026-10-28</t>
        </is>
      </c>
      <c r="F6" s="9" t="inlineStr">
        <is>
          <t>East standard full academic year 2026/27.</t>
        </is>
      </c>
    </row>
    <row r="7" ht="36" customHeight="1">
      <c r="A7" s="9" t="inlineStr">
        <is>
          <t>flightsGbp</t>
        </is>
      </c>
      <c r="B7" s="9" t="inlineStr">
        <is>
          <t>Build</t>
        </is>
      </c>
      <c r="C7" s="12" t="inlineStr">
        <is>
          <t>PLACEHOLDER</t>
        </is>
      </c>
      <c r="D7" s="9" t="inlineStr">
        <is>
          <t>PLACEHOLDER</t>
        </is>
      </c>
      <c r="E7" s="9" t="inlineStr">
        <is>
          <t>2026-10-28</t>
        </is>
      </c>
      <c r="F7" s="9" t="inlineStr">
        <is>
          <t>Unsourced. Keep PLACEHOLDER.</t>
        </is>
      </c>
    </row>
    <row r="8" ht="36" customHeight="1">
      <c r="A8" s="9" t="inlineStr">
        <is>
          <t>inrPerGbp</t>
        </is>
      </c>
      <c r="B8" s="9" t="inlineStr">
        <is>
          <t>Build RBI</t>
        </is>
      </c>
      <c r="C8" s="13" t="n">
        <v>126.4657</v>
      </c>
      <c r="D8" s="9" t="inlineStr">
        <is>
          <t>https://www.rbi.org.in/</t>
        </is>
      </c>
      <c r="E8" s="9" t="inlineStr">
        <is>
          <t>2026-10-28</t>
        </is>
      </c>
      <c r="F8" s="9" t="inlineStr">
        <is>
          <t>Reference rate as at 1.00pm 28 Oct 2026 (FBIL on RBI homepage).</t>
        </is>
      </c>
    </row>
    <row r="11">
      <c r="A11" t="inlineStr">
        <is>
          <t>Placeholder count</t>
        </is>
      </c>
      <c r="B11" s="5">
        <f>COUNTIF(C2:C7,"PLACEHOLDER")</f>
        <v/>
      </c>
    </row>
  </sheetData>
  <autoFilter ref="A1:F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70" customWidth="1" min="3" max="3"/>
    <col width="14" customWidth="1" min="4" max="4"/>
    <col width="18" customWidth="1" min="5" max="5"/>
    <col width="60" customWidth="1" min="6" max="6"/>
  </cols>
  <sheetData>
    <row r="1" ht="22" customHeight="1">
      <c r="A1" s="8" t="inlineStr">
        <is>
          <t>field</t>
        </is>
      </c>
      <c r="B1" s="8" t="inlineStr">
        <is>
          <t>value</t>
        </is>
      </c>
      <c r="C1" s="8" t="inlineStr">
        <is>
          <t>url</t>
        </is>
      </c>
      <c r="D1" s="8" t="inlineStr">
        <is>
          <t>checkedOn</t>
        </is>
      </c>
      <c r="E1" s="8" t="inlineStr">
        <is>
          <t>collector</t>
        </is>
      </c>
      <c r="F1" s="8" t="inlineStr">
        <is>
          <t>issues</t>
        </is>
      </c>
    </row>
    <row r="2" ht="36" customHeight="1">
      <c r="A2" s="9" t="inlineStr">
        <is>
          <t>robots.txt</t>
        </is>
      </c>
      <c r="B2" s="9" t="inlineStr">
        <is>
          <t>Course, scholarship and India URLs are allowed; /admin /user/login /search /node disallowed. No login used.</t>
        </is>
      </c>
      <c r="C2" s="9" t="inlineStr">
        <is>
          <t>https://www.uel.ac.uk/robots.txt</t>
        </is>
      </c>
      <c r="D2" s="9" t="inlineStr">
        <is>
          <t>2026-10-28</t>
        </is>
      </c>
      <c r="E2" s="9" t="inlineStr">
        <is>
          <t>scrapy</t>
        </is>
      </c>
      <c r="F2" s="9" t="inlineStr"/>
    </row>
    <row r="3" ht="36" customHeight="1">
      <c r="A3" s="9" t="inlineStr">
        <is>
          <t>bsc-business-management.title</t>
        </is>
      </c>
      <c r="B3" s="9" t="inlineStr">
        <is>
          <t>Business Management BSc (Hons)</t>
        </is>
      </c>
      <c r="C3" s="9" t="inlineStr">
        <is>
          <t>https://www.uel.ac.uk/undergraduate/courses/bsc-hons-business-management</t>
        </is>
      </c>
      <c r="D3" s="9" t="inlineStr">
        <is>
          <t>2026-10-28</t>
        </is>
      </c>
      <c r="E3" s="9" t="inlineStr">
        <is>
          <t>live-check</t>
        </is>
      </c>
      <c r="F3" s="9" t="inlineStr"/>
    </row>
    <row r="4" ht="36" customHeight="1">
      <c r="A4" s="9" t="inlineStr">
        <is>
          <t>bsc-business-management.tuitionGbpYearOne</t>
        </is>
      </c>
      <c r="B4" s="9" t="inlineStr">
        <is>
          <t>16020</t>
        </is>
      </c>
      <c r="C4" s="9" t="inlineStr">
        <is>
          <t>https://www.uel.ac.uk/undergraduate/courses/bsc-hons-business-management</t>
        </is>
      </c>
      <c r="D4" s="9" t="inlineStr">
        <is>
          <t>2026-10-28</t>
        </is>
      </c>
      <c r="E4" s="9" t="inlineStr">
        <is>
          <t>live-check</t>
        </is>
      </c>
      <c r="F4" s="9" t="inlineStr"/>
    </row>
    <row r="5" ht="36" customHeight="1">
      <c r="A5" s="9" t="inlineStr">
        <is>
          <t>bsc-business-management.campus</t>
        </is>
      </c>
      <c r="B5" s="9" t="inlineStr">
        <is>
          <t>University Square Stratford</t>
        </is>
      </c>
      <c r="C5" s="9" t="inlineStr">
        <is>
          <t>https://www.uel.ac.uk/undergraduate/courses/bsc-hons-business-management</t>
        </is>
      </c>
      <c r="D5" s="9" t="inlineStr">
        <is>
          <t>2026-10-28</t>
        </is>
      </c>
      <c r="E5" s="9" t="inlineStr">
        <is>
          <t>live-check</t>
        </is>
      </c>
      <c r="F5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6" ht="36" customHeight="1">
      <c r="A6" s="9" t="inlineStr">
        <is>
          <t>bsc-business-management.startDates</t>
        </is>
      </c>
      <c r="B6" s="9" t="inlineStr">
        <is>
          <t>2027-01,2027-09</t>
        </is>
      </c>
      <c r="C6" s="9" t="inlineStr">
        <is>
          <t>https://www.uel.ac.uk/undergraduate/courses/bsc-hons-business-management</t>
        </is>
      </c>
      <c r="D6" s="9" t="inlineStr">
        <is>
          <t>2026-10-28</t>
        </is>
      </c>
      <c r="E6" s="9" t="inlineStr">
        <is>
          <t>live-check</t>
        </is>
      </c>
      <c r="F6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7" ht="36" customHeight="1">
      <c r="A7" s="9" t="inlineStr">
        <is>
          <t>bsc-business-management.durationYears</t>
        </is>
      </c>
      <c r="B7" s="9" t="inlineStr">
        <is>
          <t>3</t>
        </is>
      </c>
      <c r="C7" s="9" t="inlineStr">
        <is>
          <t>https://www.uel.ac.uk/undergraduate/courses/bsc-hons-business-management</t>
        </is>
      </c>
      <c r="D7" s="9" t="inlineStr">
        <is>
          <t>2026-10-28</t>
        </is>
      </c>
      <c r="E7" s="9" t="inlineStr">
        <is>
          <t>live-check</t>
        </is>
      </c>
      <c r="F7" s="9" t="inlineStr"/>
    </row>
    <row r="8" ht="36" customHeight="1">
      <c r="A8" s="9" t="inlineStr">
        <is>
          <t>bsc-business-management.indiaEntry.minPercent</t>
        </is>
      </c>
      <c r="B8" s="9" t="inlineStr">
        <is>
          <t>60</t>
        </is>
      </c>
      <c r="C8" s="9" t="inlineStr">
        <is>
          <t>https://www.uel.ac.uk/international/guidance-your-region/south-asia/india</t>
        </is>
      </c>
      <c r="D8" s="9" t="inlineStr">
        <is>
          <t>2026-10-28</t>
        </is>
      </c>
      <c r="E8" s="9" t="inlineStr">
        <is>
          <t>live-check</t>
        </is>
      </c>
      <c r="F8" s="9" t="inlineStr">
        <is>
          <t>India page, live-checked 2026-10-28: HSC / Standard 12 overall 60% (CBSE/CICSE and named state boards). Kerala State Board 65% in Year 12. All other boards 70%. Diploma 55% is a separate route, not used as the Class 12 threshold.</t>
        </is>
      </c>
    </row>
    <row r="9" ht="36" customHeight="1">
      <c r="A9" s="9" t="inlineStr">
        <is>
          <t>bsc-marketing.title</t>
        </is>
      </c>
      <c r="B9" s="9" t="inlineStr">
        <is>
          <t>Marketing BSc (Hons)</t>
        </is>
      </c>
      <c r="C9" s="9" t="inlineStr">
        <is>
          <t>https://www.uel.ac.uk/undergraduate/courses/bsc-hons-marketing</t>
        </is>
      </c>
      <c r="D9" s="9" t="inlineStr">
        <is>
          <t>2026-10-28</t>
        </is>
      </c>
      <c r="E9" s="9" t="inlineStr">
        <is>
          <t>scrapy</t>
        </is>
      </c>
      <c r="F9" s="9" t="inlineStr"/>
    </row>
    <row r="10" ht="36" customHeight="1">
      <c r="A10" s="9" t="inlineStr">
        <is>
          <t>bsc-marketing.tuitionGbpYearOne</t>
        </is>
      </c>
      <c r="B10" s="9" t="inlineStr">
        <is>
          <t>16020</t>
        </is>
      </c>
      <c r="C10" s="9" t="inlineStr">
        <is>
          <t>https://www.uel.ac.uk/undergraduate/courses/bsc-hons-marketing</t>
        </is>
      </c>
      <c r="D10" s="9" t="inlineStr">
        <is>
          <t>2026-10-28</t>
        </is>
      </c>
      <c r="E10" s="9" t="inlineStr">
        <is>
          <t>scrapy</t>
        </is>
      </c>
      <c r="F10" s="9" t="inlineStr"/>
    </row>
    <row r="11" ht="36" customHeight="1">
      <c r="A11" s="9" t="inlineStr">
        <is>
          <t>bsc-marketing.campus</t>
        </is>
      </c>
      <c r="B11" s="9" t="inlineStr">
        <is>
          <t>University Square Stratford</t>
        </is>
      </c>
      <c r="C11" s="9" t="inlineStr">
        <is>
          <t>https://www.uel.ac.uk/undergraduate/courses/bsc-hons-marketing</t>
        </is>
      </c>
      <c r="D11" s="9" t="inlineStr">
        <is>
          <t>2026-10-28</t>
        </is>
      </c>
      <c r="E11" s="9" t="inlineStr">
        <is>
          <t>scrapy</t>
        </is>
      </c>
      <c r="F11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2" ht="36" customHeight="1">
      <c r="A12" s="9" t="inlineStr">
        <is>
          <t>bsc-marketing.startDates</t>
        </is>
      </c>
      <c r="B12" s="9" t="inlineStr">
        <is>
          <t>2027-01,2027-09</t>
        </is>
      </c>
      <c r="C12" s="9" t="inlineStr">
        <is>
          <t>https://www.uel.ac.uk/undergraduate/courses/bsc-hons-marketing</t>
        </is>
      </c>
      <c r="D12" s="9" t="inlineStr">
        <is>
          <t>2026-10-28</t>
        </is>
      </c>
      <c r="E12" s="9" t="inlineStr">
        <is>
          <t>scrapy</t>
        </is>
      </c>
      <c r="F12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3" ht="36" customHeight="1">
      <c r="A13" s="9" t="inlineStr">
        <is>
          <t>bsc-marketing.durationYears</t>
        </is>
      </c>
      <c r="B13" s="9" t="inlineStr">
        <is>
          <t>3</t>
        </is>
      </c>
      <c r="C13" s="9" t="inlineStr">
        <is>
          <t>https://www.uel.ac.uk/undergraduate/courses/bsc-hons-marketing</t>
        </is>
      </c>
      <c r="D13" s="9" t="inlineStr">
        <is>
          <t>2026-10-28</t>
        </is>
      </c>
      <c r="E13" s="9" t="inlineStr">
        <is>
          <t>scrapy</t>
        </is>
      </c>
      <c r="F13" s="9" t="inlineStr"/>
    </row>
    <row r="14" ht="36" customHeight="1">
      <c r="A14" s="9" t="inlineStr">
        <is>
          <t>bsc-marketing.indiaEntry.minPercent</t>
        </is>
      </c>
      <c r="B14" s="9" t="inlineStr">
        <is>
          <t>60</t>
        </is>
      </c>
      <c r="C14" s="9" t="inlineStr">
        <is>
          <t>https://www.uel.ac.uk/international/guidance-your-region/south-asia/india</t>
        </is>
      </c>
      <c r="D14" s="9" t="inlineStr">
        <is>
          <t>2026-10-28</t>
        </is>
      </c>
      <c r="E14" s="9" t="inlineStr">
        <is>
          <t>live-check</t>
        </is>
      </c>
      <c r="F14" s="9" t="inlineStr">
        <is>
          <t>India page, live-checked 2026-10-28: HSC / Standard 12 overall 60% (CBSE/CICSE and named state boards). Kerala State Board 65% in Year 12. All other boards 70%. Diploma 55% is a separate route, not used as the Class 12 threshold.</t>
        </is>
      </c>
    </row>
    <row r="15" ht="36" customHeight="1">
      <c r="A15" s="9" t="inlineStr">
        <is>
          <t>bsc-accounting-finance.title</t>
        </is>
      </c>
      <c r="B15" s="9" t="inlineStr">
        <is>
          <t>Accounting and Finance BSc (Hons)</t>
        </is>
      </c>
      <c r="C15" s="9" t="inlineStr">
        <is>
          <t>https://www.uel.ac.uk/undergraduate/courses/bsc-hons-accounting-finance</t>
        </is>
      </c>
      <c r="D15" s="9" t="inlineStr">
        <is>
          <t>2026-10-28</t>
        </is>
      </c>
      <c r="E15" s="9" t="inlineStr">
        <is>
          <t>scrapy</t>
        </is>
      </c>
      <c r="F15" s="9" t="inlineStr"/>
    </row>
    <row r="16" ht="36" customHeight="1">
      <c r="A16" s="9" t="inlineStr">
        <is>
          <t>bsc-accounting-finance.tuitionGbpYearOne</t>
        </is>
      </c>
      <c r="B16" s="9" t="inlineStr">
        <is>
          <t>16020</t>
        </is>
      </c>
      <c r="C16" s="9" t="inlineStr">
        <is>
          <t>https://www.uel.ac.uk/undergraduate/courses/bsc-hons-accounting-finance</t>
        </is>
      </c>
      <c r="D16" s="9" t="inlineStr">
        <is>
          <t>2026-10-28</t>
        </is>
      </c>
      <c r="E16" s="9" t="inlineStr">
        <is>
          <t>scrapy</t>
        </is>
      </c>
      <c r="F16" s="9" t="inlineStr"/>
    </row>
    <row r="17" ht="36" customHeight="1">
      <c r="A17" s="9" t="inlineStr">
        <is>
          <t>bsc-accounting-finance.campus</t>
        </is>
      </c>
      <c r="B17" s="9" t="inlineStr">
        <is>
          <t>University Square Stratford</t>
        </is>
      </c>
      <c r="C17" s="9" t="inlineStr">
        <is>
          <t>https://www.uel.ac.uk/undergraduate/courses/bsc-hons-accounting-finance</t>
        </is>
      </c>
      <c r="D17" s="9" t="inlineStr">
        <is>
          <t>2026-10-28</t>
        </is>
      </c>
      <c r="E17" s="9" t="inlineStr">
        <is>
          <t>scrapy</t>
        </is>
      </c>
      <c r="F17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8" ht="36" customHeight="1">
      <c r="A18" s="9" t="inlineStr">
        <is>
          <t>bsc-accounting-finance.startDates</t>
        </is>
      </c>
      <c r="B18" s="9" t="inlineStr">
        <is>
          <t>2027-01,2027-09</t>
        </is>
      </c>
      <c r="C18" s="9" t="inlineStr">
        <is>
          <t>https://www.uel.ac.uk/undergraduate/courses/bsc-hons-accounting-finance</t>
        </is>
      </c>
      <c r="D18" s="9" t="inlineStr">
        <is>
          <t>2026-10-28</t>
        </is>
      </c>
      <c r="E18" s="9" t="inlineStr">
        <is>
          <t>scrapy</t>
        </is>
      </c>
      <c r="F18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9" ht="36" customHeight="1">
      <c r="A19" s="9" t="inlineStr">
        <is>
          <t>bsc-accounting-finance.durationYears</t>
        </is>
      </c>
      <c r="B19" s="9" t="inlineStr">
        <is>
          <t>3</t>
        </is>
      </c>
      <c r="C19" s="9" t="inlineStr">
        <is>
          <t>https://www.uel.ac.uk/undergraduate/courses/bsc-hons-accounting-finance</t>
        </is>
      </c>
      <c r="D19" s="9" t="inlineStr">
        <is>
          <t>2026-10-28</t>
        </is>
      </c>
      <c r="E19" s="9" t="inlineStr">
        <is>
          <t>scrapy</t>
        </is>
      </c>
      <c r="F19" s="9" t="inlineStr"/>
    </row>
    <row r="20" ht="36" customHeight="1">
      <c r="A20" s="9" t="inlineStr">
        <is>
          <t>bsc-accounting-finance.indiaEntry.minPercent</t>
        </is>
      </c>
      <c r="B20" s="9" t="inlineStr">
        <is>
          <t>60</t>
        </is>
      </c>
      <c r="C20" s="9" t="inlineStr">
        <is>
          <t>https://www.uel.ac.uk/international/guidance-your-region/south-asia/india</t>
        </is>
      </c>
      <c r="D20" s="9" t="inlineStr">
        <is>
          <t>2026-10-28</t>
        </is>
      </c>
      <c r="E20" s="9" t="inlineStr">
        <is>
          <t>live-check</t>
        </is>
      </c>
      <c r="F20" s="9" t="inlineStr">
        <is>
          <t>India page, live-checked 2026-10-28: HSC / Standard 12 overall 60% (CBSE/CICSE and named state boards). Kerala State Board 65% in Year 12. All other boards 70%. Diploma 55% is a separate route, not used as the Class 12 threshold.</t>
        </is>
      </c>
    </row>
    <row r="21" ht="36" customHeight="1">
      <c r="A21" s="9" t="inlineStr">
        <is>
          <t>bsc-accounting-business-management.title</t>
        </is>
      </c>
      <c r="B21" s="9" t="inlineStr">
        <is>
          <t>Accounting and Business Management BSc (Hons)</t>
        </is>
      </c>
      <c r="C21" s="9" t="inlineStr">
        <is>
          <t>https://www.uel.ac.uk/undergraduate/courses/bsc-hons-accounting-business-management</t>
        </is>
      </c>
      <c r="D21" s="9" t="inlineStr">
        <is>
          <t>2026-10-28</t>
        </is>
      </c>
      <c r="E21" s="9" t="inlineStr">
        <is>
          <t>scrapy</t>
        </is>
      </c>
      <c r="F21" s="9" t="inlineStr"/>
    </row>
    <row r="22" ht="36" customHeight="1">
      <c r="A22" s="9" t="inlineStr">
        <is>
          <t>bsc-accounting-business-management.tuitionGbpYearOne</t>
        </is>
      </c>
      <c r="B22" s="9" t="inlineStr">
        <is>
          <t>16020</t>
        </is>
      </c>
      <c r="C22" s="9" t="inlineStr">
        <is>
          <t>https://www.uel.ac.uk/sites/default/files/uel-fees-schedule-2026-27.pdf</t>
        </is>
      </c>
      <c r="D22" s="9" t="inlineStr">
        <is>
          <t>2026-10-28</t>
        </is>
      </c>
      <c r="E22" s="9" t="inlineStr">
        <is>
          <t>live-check</t>
        </is>
      </c>
      <c r="F22" s="9" t="inlineStr">
        <is>
          <t>Course page international fee is TBC. Figure taken from UEL Fees Schedule 2026/27 international undergraduate headline £16,020 (all schools except listed nursing exceptions).</t>
        </is>
      </c>
    </row>
    <row r="23" ht="36" customHeight="1">
      <c r="A23" s="9" t="inlineStr">
        <is>
          <t>bsc-accounting-business-management.campus</t>
        </is>
      </c>
      <c r="B23" s="9" t="inlineStr">
        <is>
          <t>University Square Stratford</t>
        </is>
      </c>
      <c r="C23" s="9" t="inlineStr">
        <is>
          <t>https://www.uel.ac.uk/undergraduate/courses/bsc-hons-accounting-business-management</t>
        </is>
      </c>
      <c r="D23" s="9" t="inlineStr">
        <is>
          <t>2026-10-28</t>
        </is>
      </c>
      <c r="E23" s="9" t="inlineStr">
        <is>
          <t>scrapy</t>
        </is>
      </c>
      <c r="F23" s="9" t="inlineStr">
        <is>
          <t>Swapped in for International Business UG: UEL publishes International Business Management as a one-year top-up, not a full bachelor's.; Course page international fee is TBC. Figure taken from UEL Fees Schedule 2026/27 international undergraduate headline £16,020 (all schools except listed nursing exceptions).; JSON-LD on this page did not list international start dates. Not invented.</t>
        </is>
      </c>
    </row>
    <row r="24" ht="36" customHeight="1">
      <c r="A24" s="9" t="inlineStr">
        <is>
          <t>bsc-accounting-business-management.startDates</t>
        </is>
      </c>
      <c r="B24" s="9" t="inlineStr">
        <is>
          <t>PLACEHOLDER</t>
        </is>
      </c>
      <c r="C24" s="9" t="inlineStr">
        <is>
          <t>https://www.uel.ac.uk/undergraduate/courses/bsc-hons-accounting-business-management</t>
        </is>
      </c>
      <c r="D24" s="9" t="inlineStr">
        <is>
          <t>2026-10-28</t>
        </is>
      </c>
      <c r="E24" s="9" t="inlineStr">
        <is>
          <t>scrapy</t>
        </is>
      </c>
      <c r="F24" s="9" t="inlineStr">
        <is>
          <t>No international start dates in JSON-LD.</t>
        </is>
      </c>
    </row>
    <row r="25" ht="36" customHeight="1">
      <c r="A25" s="9" t="inlineStr">
        <is>
          <t>bsc-accounting-business-management.durationYears</t>
        </is>
      </c>
      <c r="B25" s="9" t="inlineStr">
        <is>
          <t>3</t>
        </is>
      </c>
      <c r="C25" s="9" t="inlineStr">
        <is>
          <t>https://www.uel.ac.uk/undergraduate/courses/bsc-hons-accounting-business-management</t>
        </is>
      </c>
      <c r="D25" s="9" t="inlineStr">
        <is>
          <t>2026-10-28</t>
        </is>
      </c>
      <c r="E25" s="9" t="inlineStr">
        <is>
          <t>scrapy</t>
        </is>
      </c>
      <c r="F25" s="9" t="inlineStr"/>
    </row>
    <row r="26" ht="36" customHeight="1">
      <c r="A26" s="9" t="inlineStr">
        <is>
          <t>bsc-accounting-business-management.indiaEntry.minPercent</t>
        </is>
      </c>
      <c r="B26" s="9" t="inlineStr">
        <is>
          <t>60</t>
        </is>
      </c>
      <c r="C26" s="9" t="inlineStr">
        <is>
          <t>https://www.uel.ac.uk/international/guidance-your-region/south-asia/india</t>
        </is>
      </c>
      <c r="D26" s="9" t="inlineStr">
        <is>
          <t>2026-10-28</t>
        </is>
      </c>
      <c r="E26" s="9" t="inlineStr">
        <is>
          <t>live-check</t>
        </is>
      </c>
      <c r="F26" s="9" t="inlineStr">
        <is>
          <t>India page, live-checked 2026-10-28: HSC / Standard 12 overall 60% (CBSE/CICSE and named state boards). Kerala State Board 65% in Year 12. All other boards 70%. Diploma 55% is a separate route, not used as the Class 12 threshold.</t>
        </is>
      </c>
    </row>
    <row r="27" ht="36" customHeight="1">
      <c r="A27" s="9" t="inlineStr">
        <is>
          <t>bsc-business-economics.title</t>
        </is>
      </c>
      <c r="B27" s="9" t="inlineStr">
        <is>
          <t>Business Economics BSc (Hons)</t>
        </is>
      </c>
      <c r="C27" s="9" t="inlineStr">
        <is>
          <t>https://www.uel.ac.uk/undergraduate/courses/bsc-hons-business-economics</t>
        </is>
      </c>
      <c r="D27" s="9" t="inlineStr">
        <is>
          <t>2026-10-28</t>
        </is>
      </c>
      <c r="E27" s="9" t="inlineStr">
        <is>
          <t>scrapy</t>
        </is>
      </c>
      <c r="F27" s="9" t="inlineStr"/>
    </row>
    <row r="28" ht="36" customHeight="1">
      <c r="A28" s="9" t="inlineStr">
        <is>
          <t>bsc-business-economics.tuitionGbpYearOne</t>
        </is>
      </c>
      <c r="B28" s="9" t="inlineStr">
        <is>
          <t>16020</t>
        </is>
      </c>
      <c r="C28" s="9" t="inlineStr">
        <is>
          <t>https://www.uel.ac.uk/sites/default/files/uel-fees-schedule-2026-27.pdf</t>
        </is>
      </c>
      <c r="D28" s="9" t="inlineStr">
        <is>
          <t>2026-10-28</t>
        </is>
      </c>
      <c r="E28" s="9" t="inlineStr">
        <is>
          <t>live-check</t>
        </is>
      </c>
      <c r="F28" s="9" t="inlineStr">
        <is>
          <t>Course page international fee is TBC. Figure taken from UEL Fees Schedule 2026/27 international undergraduate headline £16,020 (all schools except listed nursing exceptions).</t>
        </is>
      </c>
    </row>
    <row r="29" ht="36" customHeight="1">
      <c r="A29" s="9" t="inlineStr">
        <is>
          <t>bsc-business-economics.campus</t>
        </is>
      </c>
      <c r="B29" s="9" t="inlineStr">
        <is>
          <t>University Square Stratford</t>
        </is>
      </c>
      <c r="C29" s="9" t="inlineStr">
        <is>
          <t>https://www.uel.ac.uk/undergraduate/courses/bsc-hons-business-economics</t>
        </is>
      </c>
      <c r="D29" s="9" t="inlineStr">
        <is>
          <t>2026-10-28</t>
        </is>
      </c>
      <c r="E29" s="9" t="inlineStr">
        <is>
          <t>scrapy</t>
        </is>
      </c>
      <c r="F29" s="9" t="inlineStr">
        <is>
          <t>Course page international fee is TBC. Figure taken from UEL Fees Schedule 2026/27 international undergraduate headline £16,020 (all schools except listed nursing exceptions).; JSON-LD on this page did not list international start dates. Not invented.</t>
        </is>
      </c>
    </row>
    <row r="30" ht="36" customHeight="1">
      <c r="A30" s="9" t="inlineStr">
        <is>
          <t>bsc-business-economics.startDates</t>
        </is>
      </c>
      <c r="B30" s="9" t="inlineStr">
        <is>
          <t>PLACEHOLDER</t>
        </is>
      </c>
      <c r="C30" s="9" t="inlineStr">
        <is>
          <t>https://www.uel.ac.uk/undergraduate/courses/bsc-hons-business-economics</t>
        </is>
      </c>
      <c r="D30" s="9" t="inlineStr">
        <is>
          <t>2026-10-28</t>
        </is>
      </c>
      <c r="E30" s="9" t="inlineStr">
        <is>
          <t>scrapy</t>
        </is>
      </c>
      <c r="F30" s="9" t="inlineStr">
        <is>
          <t>No international start dates in JSON-LD.</t>
        </is>
      </c>
    </row>
    <row r="31" ht="36" customHeight="1">
      <c r="A31" s="9" t="inlineStr">
        <is>
          <t>bsc-business-economics.durationYears</t>
        </is>
      </c>
      <c r="B31" s="9" t="inlineStr">
        <is>
          <t>3</t>
        </is>
      </c>
      <c r="C31" s="9" t="inlineStr">
        <is>
          <t>https://www.uel.ac.uk/undergraduate/courses/bsc-hons-business-economics</t>
        </is>
      </c>
      <c r="D31" s="9" t="inlineStr">
        <is>
          <t>2026-10-28</t>
        </is>
      </c>
      <c r="E31" s="9" t="inlineStr">
        <is>
          <t>scrapy</t>
        </is>
      </c>
      <c r="F31" s="9" t="inlineStr"/>
    </row>
    <row r="32" ht="36" customHeight="1">
      <c r="A32" s="9" t="inlineStr">
        <is>
          <t>bsc-business-economics.indiaEntry.minPercent</t>
        </is>
      </c>
      <c r="B32" s="9" t="inlineStr">
        <is>
          <t>60</t>
        </is>
      </c>
      <c r="C32" s="9" t="inlineStr">
        <is>
          <t>https://www.uel.ac.uk/international/guidance-your-region/south-asia/india</t>
        </is>
      </c>
      <c r="D32" s="9" t="inlineStr">
        <is>
          <t>2026-10-28</t>
        </is>
      </c>
      <c r="E32" s="9" t="inlineStr">
        <is>
          <t>live-check</t>
        </is>
      </c>
      <c r="F32" s="9" t="inlineStr">
        <is>
          <t>India page, live-checked 2026-10-28: HSC / Standard 12 overall 60% (CBSE/CICSE and named state boards). Kerala State Board 65% in Year 12. All other boards 70%. Diploma 55% is a separate route, not used as the Class 12 threshold.</t>
        </is>
      </c>
    </row>
    <row r="33" ht="36" customHeight="1">
      <c r="A33" s="9" t="inlineStr">
        <is>
          <t>msc-international-business-management.title</t>
        </is>
      </c>
      <c r="B33" s="9" t="inlineStr">
        <is>
          <t>International Business Management MSc</t>
        </is>
      </c>
      <c r="C33" s="9" t="inlineStr">
        <is>
          <t>https://www.uel.ac.uk/postgraduate/courses/msc-international-business-management</t>
        </is>
      </c>
      <c r="D33" s="9" t="inlineStr">
        <is>
          <t>2026-10-28</t>
        </is>
      </c>
      <c r="E33" s="9" t="inlineStr">
        <is>
          <t>live-check</t>
        </is>
      </c>
      <c r="F33" s="9" t="inlineStr"/>
    </row>
    <row r="34" ht="36" customHeight="1">
      <c r="A34" s="9" t="inlineStr">
        <is>
          <t>msc-international-business-management.tuitionGbpYearOne</t>
        </is>
      </c>
      <c r="B34" s="9" t="inlineStr">
        <is>
          <t>17700</t>
        </is>
      </c>
      <c r="C34" s="9" t="inlineStr">
        <is>
          <t>https://www.uel.ac.uk/postgraduate/courses/msc-international-business-management</t>
        </is>
      </c>
      <c r="D34" s="9" t="inlineStr">
        <is>
          <t>2026-10-28</t>
        </is>
      </c>
      <c r="E34" s="9" t="inlineStr">
        <is>
          <t>live-check</t>
        </is>
      </c>
      <c r="F34" s="9" t="inlineStr"/>
    </row>
    <row r="35" ht="36" customHeight="1">
      <c r="A35" s="9" t="inlineStr">
        <is>
          <t>msc-international-business-management.campus</t>
        </is>
      </c>
      <c r="B35" s="9" t="inlineStr">
        <is>
          <t>University Square Stratford</t>
        </is>
      </c>
      <c r="C35" s="9" t="inlineStr">
        <is>
          <t>https://www.uel.ac.uk/postgraduate/courses/msc-international-business-management</t>
        </is>
      </c>
      <c r="D35" s="9" t="inlineStr">
        <is>
          <t>2026-10-28</t>
        </is>
      </c>
      <c r="E35" s="9" t="inlineStr">
        <is>
          <t>live-check</t>
        </is>
      </c>
      <c r="F35" s="9" t="inlineStr">
        <is>
          <t>JSON-LD start dates on the course page are 2027 (and some 2026-09 / 2027-05 for PGT). Checked 2026-10-28, after the September 2026 teaching start. Fees still match the 2026/27 schedule.; Campus section describes both Docklands and University Square Stratford. USS is stored as the RDSBL/MBA campus named on the page; Docklands is also mentioned.</t>
        </is>
      </c>
    </row>
    <row r="36" ht="36" customHeight="1">
      <c r="A36" s="9" t="inlineStr">
        <is>
          <t>msc-international-business-management.startDates</t>
        </is>
      </c>
      <c r="B36" s="9" t="inlineStr">
        <is>
          <t>2026-09,2027-01,2027-05</t>
        </is>
      </c>
      <c r="C36" s="9" t="inlineStr">
        <is>
          <t>https://www.uel.ac.uk/postgraduate/courses/msc-international-business-management</t>
        </is>
      </c>
      <c r="D36" s="9" t="inlineStr">
        <is>
          <t>2026-10-28</t>
        </is>
      </c>
      <c r="E36" s="9" t="inlineStr">
        <is>
          <t>live-check</t>
        </is>
      </c>
      <c r="F36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37" ht="36" customHeight="1">
      <c r="A37" s="9" t="inlineStr">
        <is>
          <t>msc-international-business-management.durationYears</t>
        </is>
      </c>
      <c r="B37" s="9" t="inlineStr">
        <is>
          <t>1</t>
        </is>
      </c>
      <c r="C37" s="9" t="inlineStr">
        <is>
          <t>https://www.uel.ac.uk/postgraduate/courses/msc-international-business-management</t>
        </is>
      </c>
      <c r="D37" s="9" t="inlineStr">
        <is>
          <t>2026-10-28</t>
        </is>
      </c>
      <c r="E37" s="9" t="inlineStr">
        <is>
          <t>live-check</t>
        </is>
      </c>
      <c r="F37" s="9" t="inlineStr"/>
    </row>
    <row r="38" ht="36" customHeight="1">
      <c r="A38" s="9" t="inlineStr">
        <is>
          <t>msc-international-business-management.indiaEntry.minPercent</t>
        </is>
      </c>
      <c r="B38" s="9" t="inlineStr">
        <is>
          <t>50</t>
        </is>
      </c>
      <c r="C38" s="9" t="inlineStr">
        <is>
          <t>https://www.uel.ac.uk/international/guidance-your-region/south-asia/india</t>
        </is>
      </c>
      <c r="D38" s="9" t="inlineStr">
        <is>
          <t>2026-10-28</t>
        </is>
      </c>
      <c r="E38" s="9" t="inlineStr">
        <is>
          <t>live-check</t>
        </is>
      </c>
      <c r="F38" s="9" t="inlineStr">
        <is>
          <t>India page, live-checked 2026-10-28: 50% from listed universities (Delhi, Mumbai, Pune, Kolkata, Chennai, Anna, Bharatiyar, MSU Baroda, Bangalore); 55% from all other recognised institutions.</t>
        </is>
      </c>
    </row>
    <row r="39" ht="36" customHeight="1">
      <c r="A39" s="9" t="inlineStr">
        <is>
          <t>msc-marketing.title</t>
        </is>
      </c>
      <c r="B39" s="9" t="inlineStr">
        <is>
          <t>Marketing MSc</t>
        </is>
      </c>
      <c r="C39" s="9" t="inlineStr">
        <is>
          <t>https://www.uel.ac.uk/postgraduate/courses/msc-marketing</t>
        </is>
      </c>
      <c r="D39" s="9" t="inlineStr">
        <is>
          <t>2026-10-28</t>
        </is>
      </c>
      <c r="E39" s="9" t="inlineStr">
        <is>
          <t>scrapy</t>
        </is>
      </c>
      <c r="F39" s="9" t="inlineStr"/>
    </row>
    <row r="40" ht="36" customHeight="1">
      <c r="A40" s="9" t="inlineStr">
        <is>
          <t>msc-marketing.tuitionGbpYearOne</t>
        </is>
      </c>
      <c r="B40" s="9" t="inlineStr">
        <is>
          <t>18900</t>
        </is>
      </c>
      <c r="C40" s="9" t="inlineStr">
        <is>
          <t>https://www.uel.ac.uk/postgraduate/courses/msc-marketing</t>
        </is>
      </c>
      <c r="D40" s="9" t="inlineStr">
        <is>
          <t>2026-10-28</t>
        </is>
      </c>
      <c r="E40" s="9" t="inlineStr">
        <is>
          <t>scrapy</t>
        </is>
      </c>
      <c r="F40" s="9" t="inlineStr"/>
    </row>
    <row r="41" ht="36" customHeight="1">
      <c r="A41" s="9" t="inlineStr">
        <is>
          <t>msc-marketing.campus</t>
        </is>
      </c>
      <c r="B41" s="9" t="inlineStr">
        <is>
          <t>University Square Stratford</t>
        </is>
      </c>
      <c r="C41" s="9" t="inlineStr">
        <is>
          <t>https://www.uel.ac.uk/postgraduate/courses/msc-marketing</t>
        </is>
      </c>
      <c r="D41" s="9" t="inlineStr">
        <is>
          <t>2026-10-28</t>
        </is>
      </c>
      <c r="E41" s="9" t="inlineStr">
        <is>
          <t>scrapy</t>
        </is>
      </c>
      <c r="F41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42" ht="36" customHeight="1">
      <c r="A42" s="9" t="inlineStr">
        <is>
          <t>msc-marketing.startDates</t>
        </is>
      </c>
      <c r="B42" s="9" t="inlineStr">
        <is>
          <t>2026-09,2027-01</t>
        </is>
      </c>
      <c r="C42" s="9" t="inlineStr">
        <is>
          <t>https://www.uel.ac.uk/postgraduate/courses/msc-marketing</t>
        </is>
      </c>
      <c r="D42" s="9" t="inlineStr">
        <is>
          <t>2026-10-28</t>
        </is>
      </c>
      <c r="E42" s="9" t="inlineStr">
        <is>
          <t>scrapy</t>
        </is>
      </c>
      <c r="F42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43" ht="36" customHeight="1">
      <c r="A43" s="9" t="inlineStr">
        <is>
          <t>msc-marketing.durationYears</t>
        </is>
      </c>
      <c r="B43" s="9" t="inlineStr">
        <is>
          <t>1</t>
        </is>
      </c>
      <c r="C43" s="9" t="inlineStr">
        <is>
          <t>https://www.uel.ac.uk/postgraduate/courses/msc-marketing</t>
        </is>
      </c>
      <c r="D43" s="9" t="inlineStr">
        <is>
          <t>2026-10-28</t>
        </is>
      </c>
      <c r="E43" s="9" t="inlineStr">
        <is>
          <t>scrapy</t>
        </is>
      </c>
      <c r="F43" s="9" t="inlineStr"/>
    </row>
    <row r="44" ht="36" customHeight="1">
      <c r="A44" s="9" t="inlineStr">
        <is>
          <t>msc-marketing.indiaEntry.minPercent</t>
        </is>
      </c>
      <c r="B44" s="9" t="inlineStr">
        <is>
          <t>50</t>
        </is>
      </c>
      <c r="C44" s="9" t="inlineStr">
        <is>
          <t>https://www.uel.ac.uk/international/guidance-your-region/south-asia/india</t>
        </is>
      </c>
      <c r="D44" s="9" t="inlineStr">
        <is>
          <t>2026-10-28</t>
        </is>
      </c>
      <c r="E44" s="9" t="inlineStr">
        <is>
          <t>live-check</t>
        </is>
      </c>
      <c r="F44" s="9" t="inlineStr">
        <is>
          <t>India page, live-checked 2026-10-28: 50% from listed universities (Delhi, Mumbai, Pune, Kolkata, Chennai, Anna, Bharatiyar, MSU Baroda, Bangalore); 55% from all other recognised institutions.</t>
        </is>
      </c>
    </row>
    <row r="45" ht="36" customHeight="1">
      <c r="A45" s="9" t="inlineStr">
        <is>
          <t>mba.title</t>
        </is>
      </c>
      <c r="B45" s="9" t="inlineStr">
        <is>
          <t>Master of Business Administration MBA</t>
        </is>
      </c>
      <c r="C45" s="9" t="inlineStr">
        <is>
          <t>https://www.uel.ac.uk/postgraduate/courses/mba-master-business-administration</t>
        </is>
      </c>
      <c r="D45" s="9" t="inlineStr">
        <is>
          <t>2026-10-28</t>
        </is>
      </c>
      <c r="E45" s="9" t="inlineStr">
        <is>
          <t>scrapy</t>
        </is>
      </c>
      <c r="F45" s="9" t="inlineStr"/>
    </row>
    <row r="46" ht="36" customHeight="1">
      <c r="A46" s="9" t="inlineStr">
        <is>
          <t>mba.tuitionGbpYearOne</t>
        </is>
      </c>
      <c r="B46" s="9" t="inlineStr">
        <is>
          <t>19500</t>
        </is>
      </c>
      <c r="C46" s="9" t="inlineStr">
        <is>
          <t>https://www.uel.ac.uk/postgraduate/courses/mba-master-business-administration</t>
        </is>
      </c>
      <c r="D46" s="9" t="inlineStr">
        <is>
          <t>2026-10-28</t>
        </is>
      </c>
      <c r="E46" s="9" t="inlineStr">
        <is>
          <t>scrapy</t>
        </is>
      </c>
      <c r="F46" s="9" t="inlineStr"/>
    </row>
    <row r="47" ht="36" customHeight="1">
      <c r="A47" s="9" t="inlineStr">
        <is>
          <t>mba.campus</t>
        </is>
      </c>
      <c r="B47" s="9" t="inlineStr">
        <is>
          <t>University Square Stratford</t>
        </is>
      </c>
      <c r="C47" s="9" t="inlineStr">
        <is>
          <t>https://www.uel.ac.uk/postgraduate/courses/mba-master-business-administration</t>
        </is>
      </c>
      <c r="D47" s="9" t="inlineStr">
        <is>
          <t>2026-10-28</t>
        </is>
      </c>
      <c r="E47" s="9" t="inlineStr">
        <is>
          <t>scrapy</t>
        </is>
      </c>
      <c r="F47" s="9" t="inlineStr">
        <is>
          <t>JSON-LD start dates on the course page are 2027 (and some 2026-09 / 2027-05 for PGT). Checked 2026-10-28, after the September 2026 teaching start. Fees still match the 2026/27 schedule.; Page says USS is the base for the MBA and also describes an MBA suite at Docklands. Stored campus is University Square Stratford.</t>
        </is>
      </c>
    </row>
    <row r="48" ht="36" customHeight="1">
      <c r="A48" s="9" t="inlineStr">
        <is>
          <t>mba.startDates</t>
        </is>
      </c>
      <c r="B48" s="9" t="inlineStr">
        <is>
          <t>2026-09,2027-01,2027-05</t>
        </is>
      </c>
      <c r="C48" s="9" t="inlineStr">
        <is>
          <t>https://www.uel.ac.uk/postgraduate/courses/mba-master-business-administration</t>
        </is>
      </c>
      <c r="D48" s="9" t="inlineStr">
        <is>
          <t>2026-10-28</t>
        </is>
      </c>
      <c r="E48" s="9" t="inlineStr">
        <is>
          <t>scrapy</t>
        </is>
      </c>
      <c r="F48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49" ht="36" customHeight="1">
      <c r="A49" s="9" t="inlineStr">
        <is>
          <t>mba.durationYears</t>
        </is>
      </c>
      <c r="B49" s="9" t="inlineStr">
        <is>
          <t>1</t>
        </is>
      </c>
      <c r="C49" s="9" t="inlineStr">
        <is>
          <t>https://www.uel.ac.uk/postgraduate/courses/mba-master-business-administration</t>
        </is>
      </c>
      <c r="D49" s="9" t="inlineStr">
        <is>
          <t>2026-10-28</t>
        </is>
      </c>
      <c r="E49" s="9" t="inlineStr">
        <is>
          <t>scrapy</t>
        </is>
      </c>
      <c r="F49" s="9" t="inlineStr"/>
    </row>
    <row r="50" ht="36" customHeight="1">
      <c r="A50" s="9" t="inlineStr">
        <is>
          <t>mba.indiaEntry.minPercent</t>
        </is>
      </c>
      <c r="B50" s="9" t="inlineStr">
        <is>
          <t>50</t>
        </is>
      </c>
      <c r="C50" s="9" t="inlineStr">
        <is>
          <t>https://www.uel.ac.uk/international/guidance-your-region/south-asia/india</t>
        </is>
      </c>
      <c r="D50" s="9" t="inlineStr">
        <is>
          <t>2026-10-28</t>
        </is>
      </c>
      <c r="E50" s="9" t="inlineStr">
        <is>
          <t>live-check</t>
        </is>
      </c>
      <c r="F50" s="9" t="inlineStr">
        <is>
          <t>India page, live-checked 2026-10-28: 50% from listed universities (Delhi, Mumbai, Pune, Kolkata, Chennai, Anna, Bharatiyar, MSU Baroda, Bangalore); 55% from all other recognised institutions.</t>
        </is>
      </c>
    </row>
    <row r="51" ht="36" customHeight="1">
      <c r="A51" s="9" t="inlineStr">
        <is>
          <t>msc-human-resource-management.title</t>
        </is>
      </c>
      <c r="B51" s="9" t="inlineStr">
        <is>
          <t>Human Resource Management MSc</t>
        </is>
      </c>
      <c r="C51" s="9" t="inlineStr">
        <is>
          <t>https://www.uel.ac.uk/postgraduate/courses/msc-human-resource-management</t>
        </is>
      </c>
      <c r="D51" s="9" t="inlineStr">
        <is>
          <t>2026-10-28</t>
        </is>
      </c>
      <c r="E51" s="9" t="inlineStr">
        <is>
          <t>scrapy</t>
        </is>
      </c>
      <c r="F51" s="9" t="inlineStr"/>
    </row>
    <row r="52" ht="36" customHeight="1">
      <c r="A52" s="9" t="inlineStr">
        <is>
          <t>msc-human-resource-management.tuitionGbpYearOne</t>
        </is>
      </c>
      <c r="B52" s="9" t="inlineStr">
        <is>
          <t>17220</t>
        </is>
      </c>
      <c r="C52" s="9" t="inlineStr">
        <is>
          <t>https://www.uel.ac.uk/postgraduate/courses/msc-human-resource-management</t>
        </is>
      </c>
      <c r="D52" s="9" t="inlineStr">
        <is>
          <t>2026-10-28</t>
        </is>
      </c>
      <c r="E52" s="9" t="inlineStr">
        <is>
          <t>scrapy</t>
        </is>
      </c>
      <c r="F52" s="9" t="inlineStr"/>
    </row>
    <row r="53" ht="36" customHeight="1">
      <c r="A53" s="9" t="inlineStr">
        <is>
          <t>msc-human-resource-management.campus</t>
        </is>
      </c>
      <c r="B53" s="9" t="inlineStr">
        <is>
          <t>University Square Stratford</t>
        </is>
      </c>
      <c r="C53" s="9" t="inlineStr">
        <is>
          <t>https://www.uel.ac.uk/postgraduate/courses/msc-human-resource-management</t>
        </is>
      </c>
      <c r="D53" s="9" t="inlineStr">
        <is>
          <t>2026-10-28</t>
        </is>
      </c>
      <c r="E53" s="9" t="inlineStr">
        <is>
          <t>scrapy</t>
        </is>
      </c>
      <c r="F53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54" ht="36" customHeight="1">
      <c r="A54" s="9" t="inlineStr">
        <is>
          <t>msc-human-resource-management.startDates</t>
        </is>
      </c>
      <c r="B54" s="9" t="inlineStr">
        <is>
          <t>2026-09,2027-01,2027-05</t>
        </is>
      </c>
      <c r="C54" s="9" t="inlineStr">
        <is>
          <t>https://www.uel.ac.uk/postgraduate/courses/msc-human-resource-management</t>
        </is>
      </c>
      <c r="D54" s="9" t="inlineStr">
        <is>
          <t>2026-10-28</t>
        </is>
      </c>
      <c r="E54" s="9" t="inlineStr">
        <is>
          <t>scrapy</t>
        </is>
      </c>
      <c r="F54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55" ht="36" customHeight="1">
      <c r="A55" s="9" t="inlineStr">
        <is>
          <t>msc-human-resource-management.durationYears</t>
        </is>
      </c>
      <c r="B55" s="9" t="inlineStr">
        <is>
          <t>1</t>
        </is>
      </c>
      <c r="C55" s="9" t="inlineStr">
        <is>
          <t>https://www.uel.ac.uk/postgraduate/courses/msc-human-resource-management</t>
        </is>
      </c>
      <c r="D55" s="9" t="inlineStr">
        <is>
          <t>2026-10-28</t>
        </is>
      </c>
      <c r="E55" s="9" t="inlineStr">
        <is>
          <t>scrapy</t>
        </is>
      </c>
      <c r="F55" s="9" t="inlineStr"/>
    </row>
    <row r="56" ht="36" customHeight="1">
      <c r="A56" s="9" t="inlineStr">
        <is>
          <t>msc-human-resource-management.indiaEntry.minPercent</t>
        </is>
      </c>
      <c r="B56" s="9" t="inlineStr">
        <is>
          <t>50</t>
        </is>
      </c>
      <c r="C56" s="9" t="inlineStr">
        <is>
          <t>https://www.uel.ac.uk/international/guidance-your-region/south-asia/india</t>
        </is>
      </c>
      <c r="D56" s="9" t="inlineStr">
        <is>
          <t>2026-10-28</t>
        </is>
      </c>
      <c r="E56" s="9" t="inlineStr">
        <is>
          <t>live-check</t>
        </is>
      </c>
      <c r="F56" s="9" t="inlineStr">
        <is>
          <t>India page, live-checked 2026-10-28: 50% from listed universities (Delhi, Mumbai, Pune, Kolkata, Chennai, Anna, Bharatiyar, MSU Baroda, Bangalore); 55% from all other recognised institutions.</t>
        </is>
      </c>
    </row>
    <row r="57" ht="36" customHeight="1">
      <c r="A57" s="9" t="inlineStr">
        <is>
          <t>bsc-computer-science.title</t>
        </is>
      </c>
      <c r="B57" s="9" t="inlineStr">
        <is>
          <t>Computer Science BSc (Hons)</t>
        </is>
      </c>
      <c r="C57" s="9" t="inlineStr">
        <is>
          <t>https://www.uel.ac.uk/undergraduate/courses/bsc-hons-computer-science</t>
        </is>
      </c>
      <c r="D57" s="9" t="inlineStr">
        <is>
          <t>2026-10-28</t>
        </is>
      </c>
      <c r="E57" s="9" t="inlineStr">
        <is>
          <t>live-check</t>
        </is>
      </c>
      <c r="F57" s="9" t="inlineStr"/>
    </row>
    <row r="58" ht="36" customHeight="1">
      <c r="A58" s="9" t="inlineStr">
        <is>
          <t>bsc-computer-science.tuitionGbpYearOne</t>
        </is>
      </c>
      <c r="B58" s="9" t="inlineStr">
        <is>
          <t>16020</t>
        </is>
      </c>
      <c r="C58" s="9" t="inlineStr">
        <is>
          <t>https://www.uel.ac.uk/undergraduate/courses/bsc-hons-computer-science</t>
        </is>
      </c>
      <c r="D58" s="9" t="inlineStr">
        <is>
          <t>2026-10-28</t>
        </is>
      </c>
      <c r="E58" s="9" t="inlineStr">
        <is>
          <t>live-check</t>
        </is>
      </c>
      <c r="F58" s="9" t="inlineStr"/>
    </row>
    <row r="59" ht="36" customHeight="1">
      <c r="A59" s="9" t="inlineStr">
        <is>
          <t>bsc-computer-science.campus</t>
        </is>
      </c>
      <c r="B59" s="9" t="inlineStr">
        <is>
          <t>Docklands</t>
        </is>
      </c>
      <c r="C59" s="9" t="inlineStr">
        <is>
          <t>https://www.uel.ac.uk/undergraduate/courses/bsc-hons-computer-science</t>
        </is>
      </c>
      <c r="D59" s="9" t="inlineStr">
        <is>
          <t>2026-10-28</t>
        </is>
      </c>
      <c r="E59" s="9" t="inlineStr">
        <is>
          <t>live-check</t>
        </is>
      </c>
      <c r="F59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60" ht="36" customHeight="1">
      <c r="A60" s="9" t="inlineStr">
        <is>
          <t>bsc-computer-science.startDates</t>
        </is>
      </c>
      <c r="B60" s="9" t="inlineStr">
        <is>
          <t>2027-01,2027-09</t>
        </is>
      </c>
      <c r="C60" s="9" t="inlineStr">
        <is>
          <t>https://www.uel.ac.uk/undergraduate/courses/bsc-hons-computer-science</t>
        </is>
      </c>
      <c r="D60" s="9" t="inlineStr">
        <is>
          <t>2026-10-28</t>
        </is>
      </c>
      <c r="E60" s="9" t="inlineStr">
        <is>
          <t>live-check</t>
        </is>
      </c>
      <c r="F60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61" ht="36" customHeight="1">
      <c r="A61" s="9" t="inlineStr">
        <is>
          <t>bsc-computer-science.durationYears</t>
        </is>
      </c>
      <c r="B61" s="9" t="inlineStr">
        <is>
          <t>3</t>
        </is>
      </c>
      <c r="C61" s="9" t="inlineStr">
        <is>
          <t>https://www.uel.ac.uk/undergraduate/courses/bsc-hons-computer-science</t>
        </is>
      </c>
      <c r="D61" s="9" t="inlineStr">
        <is>
          <t>2026-10-28</t>
        </is>
      </c>
      <c r="E61" s="9" t="inlineStr">
        <is>
          <t>live-check</t>
        </is>
      </c>
      <c r="F61" s="9" t="inlineStr"/>
    </row>
    <row r="62" ht="36" customHeight="1">
      <c r="A62" s="9" t="inlineStr">
        <is>
          <t>bsc-computer-science.indiaEntry.minPercent</t>
        </is>
      </c>
      <c r="B62" s="9" t="inlineStr">
        <is>
          <t>60</t>
        </is>
      </c>
      <c r="C62" s="9" t="inlineStr">
        <is>
          <t>https://www.uel.ac.uk/international/guidance-your-region/south-asia/india</t>
        </is>
      </c>
      <c r="D62" s="9" t="inlineStr">
        <is>
          <t>2026-10-28</t>
        </is>
      </c>
      <c r="E62" s="9" t="inlineStr">
        <is>
          <t>live-check</t>
        </is>
      </c>
      <c r="F62" s="9" t="inlineStr">
        <is>
          <t>India page, live-checked 2026-10-28: HSC / Standard 12 overall 60% (CBSE/CICSE and named state boards). Kerala State Board 65% in Year 12. All other boards 70%. Diploma 55% is a separate route, not used as the Class 12 threshold.</t>
        </is>
      </c>
    </row>
    <row r="63" ht="36" customHeight="1">
      <c r="A63" s="9" t="inlineStr">
        <is>
          <t>msc-computer-science.title</t>
        </is>
      </c>
      <c r="B63" s="9" t="inlineStr">
        <is>
          <t>Computer Science MSc</t>
        </is>
      </c>
      <c r="C63" s="9" t="inlineStr">
        <is>
          <t>https://www.uel.ac.uk/postgraduate/courses/msc-computer-science</t>
        </is>
      </c>
      <c r="D63" s="9" t="inlineStr">
        <is>
          <t>2026-10-28</t>
        </is>
      </c>
      <c r="E63" s="9" t="inlineStr">
        <is>
          <t>scrapy</t>
        </is>
      </c>
      <c r="F63" s="9" t="inlineStr"/>
    </row>
    <row r="64" ht="36" customHeight="1">
      <c r="A64" s="9" t="inlineStr">
        <is>
          <t>msc-computer-science.tuitionGbpYearOne</t>
        </is>
      </c>
      <c r="B64" s="9" t="inlineStr">
        <is>
          <t>17220</t>
        </is>
      </c>
      <c r="C64" s="9" t="inlineStr">
        <is>
          <t>https://www.uel.ac.uk/postgraduate/courses/msc-computer-science</t>
        </is>
      </c>
      <c r="D64" s="9" t="inlineStr">
        <is>
          <t>2026-10-28</t>
        </is>
      </c>
      <c r="E64" s="9" t="inlineStr">
        <is>
          <t>scrapy</t>
        </is>
      </c>
      <c r="F64" s="9" t="inlineStr"/>
    </row>
    <row r="65" ht="36" customHeight="1">
      <c r="A65" s="9" t="inlineStr">
        <is>
          <t>msc-computer-science.campus</t>
        </is>
      </c>
      <c r="B65" s="9" t="inlineStr">
        <is>
          <t>Docklands</t>
        </is>
      </c>
      <c r="C65" s="9" t="inlineStr">
        <is>
          <t>https://www.uel.ac.uk/postgraduate/courses/msc-computer-science</t>
        </is>
      </c>
      <c r="D65" s="9" t="inlineStr">
        <is>
          <t>2026-10-28</t>
        </is>
      </c>
      <c r="E65" s="9" t="inlineStr">
        <is>
          <t>scrapy</t>
        </is>
      </c>
      <c r="F65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66" ht="36" customHeight="1">
      <c r="A66" s="9" t="inlineStr">
        <is>
          <t>msc-computer-science.startDates</t>
        </is>
      </c>
      <c r="B66" s="9" t="inlineStr">
        <is>
          <t>2026-09,2027-01,2027-05</t>
        </is>
      </c>
      <c r="C66" s="9" t="inlineStr">
        <is>
          <t>https://www.uel.ac.uk/postgraduate/courses/msc-computer-science</t>
        </is>
      </c>
      <c r="D66" s="9" t="inlineStr">
        <is>
          <t>2026-10-28</t>
        </is>
      </c>
      <c r="E66" s="9" t="inlineStr">
        <is>
          <t>scrapy</t>
        </is>
      </c>
      <c r="F66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67" ht="36" customHeight="1">
      <c r="A67" s="9" t="inlineStr">
        <is>
          <t>msc-computer-science.durationYears</t>
        </is>
      </c>
      <c r="B67" s="9" t="inlineStr">
        <is>
          <t>1</t>
        </is>
      </c>
      <c r="C67" s="9" t="inlineStr">
        <is>
          <t>https://www.uel.ac.uk/postgraduate/courses/msc-computer-science</t>
        </is>
      </c>
      <c r="D67" s="9" t="inlineStr">
        <is>
          <t>2026-10-28</t>
        </is>
      </c>
      <c r="E67" s="9" t="inlineStr">
        <is>
          <t>scrapy</t>
        </is>
      </c>
      <c r="F67" s="9" t="inlineStr"/>
    </row>
    <row r="68" ht="36" customHeight="1">
      <c r="A68" s="9" t="inlineStr">
        <is>
          <t>msc-computer-science.indiaEntry.minPercent</t>
        </is>
      </c>
      <c r="B68" s="9" t="inlineStr">
        <is>
          <t>50</t>
        </is>
      </c>
      <c r="C68" s="9" t="inlineStr">
        <is>
          <t>https://www.uel.ac.uk/international/guidance-your-region/south-asia/india</t>
        </is>
      </c>
      <c r="D68" s="9" t="inlineStr">
        <is>
          <t>2026-10-28</t>
        </is>
      </c>
      <c r="E68" s="9" t="inlineStr">
        <is>
          <t>live-check</t>
        </is>
      </c>
      <c r="F68" s="9" t="inlineStr">
        <is>
          <t>India page, live-checked 2026-10-28: 50% from listed universities (Delhi, Mumbai, Pune, Kolkata, Chennai, Anna, Bharatiyar, MSU Baroda, Bangalore); 55% from all other recognised institutions.</t>
        </is>
      </c>
    </row>
    <row r="69" ht="36" customHeight="1">
      <c r="A69" s="9" t="inlineStr">
        <is>
          <t>msc-data-science.title</t>
        </is>
      </c>
      <c r="B69" s="9" t="inlineStr">
        <is>
          <t>Data Science MSc</t>
        </is>
      </c>
      <c r="C69" s="9" t="inlineStr">
        <is>
          <t>https://www.uel.ac.uk/postgraduate/courses/msc-data-science</t>
        </is>
      </c>
      <c r="D69" s="9" t="inlineStr">
        <is>
          <t>2026-10-28</t>
        </is>
      </c>
      <c r="E69" s="9" t="inlineStr">
        <is>
          <t>scrapy</t>
        </is>
      </c>
      <c r="F69" s="9" t="inlineStr"/>
    </row>
    <row r="70" ht="36" customHeight="1">
      <c r="A70" s="9" t="inlineStr">
        <is>
          <t>msc-data-science.tuitionGbpYearOne</t>
        </is>
      </c>
      <c r="B70" s="9" t="inlineStr">
        <is>
          <t>17220</t>
        </is>
      </c>
      <c r="C70" s="9" t="inlineStr">
        <is>
          <t>https://www.uel.ac.uk/postgraduate/courses/msc-data-science</t>
        </is>
      </c>
      <c r="D70" s="9" t="inlineStr">
        <is>
          <t>2026-10-28</t>
        </is>
      </c>
      <c r="E70" s="9" t="inlineStr">
        <is>
          <t>scrapy</t>
        </is>
      </c>
      <c r="F70" s="9" t="inlineStr"/>
    </row>
    <row r="71" ht="36" customHeight="1">
      <c r="A71" s="9" t="inlineStr">
        <is>
          <t>msc-data-science.campus</t>
        </is>
      </c>
      <c r="B71" s="9" t="inlineStr">
        <is>
          <t>Docklands</t>
        </is>
      </c>
      <c r="C71" s="9" t="inlineStr">
        <is>
          <t>https://www.uel.ac.uk/postgraduate/courses/msc-data-science</t>
        </is>
      </c>
      <c r="D71" s="9" t="inlineStr">
        <is>
          <t>2026-10-28</t>
        </is>
      </c>
      <c r="E71" s="9" t="inlineStr">
        <is>
          <t>scrapy</t>
        </is>
      </c>
      <c r="F71" s="9" t="inlineStr">
        <is>
          <t>JSON-LD start dates on the course page are 2027 (and some 2026-09 / 2027-05 for PGT). Checked 2026-10-28, after the September 2026 teaching start. Fees still match the 2026/27 schedule.; Any-subject 2:2 on this MSc is different from Computer Science MSc, which asks for a computing degree.</t>
        </is>
      </c>
    </row>
    <row r="72" ht="36" customHeight="1">
      <c r="A72" s="9" t="inlineStr">
        <is>
          <t>msc-data-science.startDates</t>
        </is>
      </c>
      <c r="B72" s="9" t="inlineStr">
        <is>
          <t>2026-09,2027-01</t>
        </is>
      </c>
      <c r="C72" s="9" t="inlineStr">
        <is>
          <t>https://www.uel.ac.uk/postgraduate/courses/msc-data-science</t>
        </is>
      </c>
      <c r="D72" s="9" t="inlineStr">
        <is>
          <t>2026-10-28</t>
        </is>
      </c>
      <c r="E72" s="9" t="inlineStr">
        <is>
          <t>scrapy</t>
        </is>
      </c>
      <c r="F72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73" ht="36" customHeight="1">
      <c r="A73" s="9" t="inlineStr">
        <is>
          <t>msc-data-science.durationYears</t>
        </is>
      </c>
      <c r="B73" s="9" t="inlineStr">
        <is>
          <t>1</t>
        </is>
      </c>
      <c r="C73" s="9" t="inlineStr">
        <is>
          <t>https://www.uel.ac.uk/postgraduate/courses/msc-data-science</t>
        </is>
      </c>
      <c r="D73" s="9" t="inlineStr">
        <is>
          <t>2026-10-28</t>
        </is>
      </c>
      <c r="E73" s="9" t="inlineStr">
        <is>
          <t>scrapy</t>
        </is>
      </c>
      <c r="F73" s="9" t="inlineStr"/>
    </row>
    <row r="74" ht="36" customHeight="1">
      <c r="A74" s="9" t="inlineStr">
        <is>
          <t>msc-data-science.indiaEntry.minPercent</t>
        </is>
      </c>
      <c r="B74" s="9" t="inlineStr">
        <is>
          <t>50</t>
        </is>
      </c>
      <c r="C74" s="9" t="inlineStr">
        <is>
          <t>https://www.uel.ac.uk/international/guidance-your-region/south-asia/india</t>
        </is>
      </c>
      <c r="D74" s="9" t="inlineStr">
        <is>
          <t>2026-10-28</t>
        </is>
      </c>
      <c r="E74" s="9" t="inlineStr">
        <is>
          <t>live-check</t>
        </is>
      </c>
      <c r="F74" s="9" t="inlineStr">
        <is>
          <t>India page, live-checked 2026-10-28: 50% from listed universities (Delhi, Mumbai, Pune, Kolkata, Chennai, Anna, Bharatiyar, MSU Baroda, Bangalore); 55% from all other recognised institutions.</t>
        </is>
      </c>
    </row>
    <row r="75" ht="36" customHeight="1">
      <c r="A75" s="9" t="inlineStr">
        <is>
          <t>beng-civil-engineering.title</t>
        </is>
      </c>
      <c r="B75" s="9" t="inlineStr">
        <is>
          <t>Civil Engineering BEng (Hons)</t>
        </is>
      </c>
      <c r="C75" s="9" t="inlineStr">
        <is>
          <t>https://www.uel.ac.uk/undergraduate/courses/beng-hons-civil-engineering</t>
        </is>
      </c>
      <c r="D75" s="9" t="inlineStr">
        <is>
          <t>2026-10-28</t>
        </is>
      </c>
      <c r="E75" s="9" t="inlineStr">
        <is>
          <t>scrapy</t>
        </is>
      </c>
      <c r="F75" s="9" t="inlineStr"/>
    </row>
    <row r="76" ht="36" customHeight="1">
      <c r="A76" s="9" t="inlineStr">
        <is>
          <t>beng-civil-engineering.tuitionGbpYearOne</t>
        </is>
      </c>
      <c r="B76" s="9" t="inlineStr">
        <is>
          <t>16020</t>
        </is>
      </c>
      <c r="C76" s="9" t="inlineStr">
        <is>
          <t>https://www.uel.ac.uk/undergraduate/courses/beng-hons-civil-engineering</t>
        </is>
      </c>
      <c r="D76" s="9" t="inlineStr">
        <is>
          <t>2026-10-28</t>
        </is>
      </c>
      <c r="E76" s="9" t="inlineStr">
        <is>
          <t>scrapy</t>
        </is>
      </c>
      <c r="F76" s="9" t="inlineStr"/>
    </row>
    <row r="77" ht="36" customHeight="1">
      <c r="A77" s="9" t="inlineStr">
        <is>
          <t>beng-civil-engineering.campus</t>
        </is>
      </c>
      <c r="B77" s="9" t="inlineStr">
        <is>
          <t>Docklands</t>
        </is>
      </c>
      <c r="C77" s="9" t="inlineStr">
        <is>
          <t>https://www.uel.ac.uk/undergraduate/courses/beng-hons-civil-engineering</t>
        </is>
      </c>
      <c r="D77" s="9" t="inlineStr">
        <is>
          <t>2026-10-28</t>
        </is>
      </c>
      <c r="E77" s="9" t="inlineStr">
        <is>
          <t>scrapy</t>
        </is>
      </c>
      <c r="F77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78" ht="36" customHeight="1">
      <c r="A78" s="9" t="inlineStr">
        <is>
          <t>beng-civil-engineering.startDates</t>
        </is>
      </c>
      <c r="B78" s="9" t="inlineStr">
        <is>
          <t>2027-01,2027-09</t>
        </is>
      </c>
      <c r="C78" s="9" t="inlineStr">
        <is>
          <t>https://www.uel.ac.uk/undergraduate/courses/beng-hons-civil-engineering</t>
        </is>
      </c>
      <c r="D78" s="9" t="inlineStr">
        <is>
          <t>2026-10-28</t>
        </is>
      </c>
      <c r="E78" s="9" t="inlineStr">
        <is>
          <t>scrapy</t>
        </is>
      </c>
      <c r="F78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79" ht="36" customHeight="1">
      <c r="A79" s="9" t="inlineStr">
        <is>
          <t>beng-civil-engineering.durationYears</t>
        </is>
      </c>
      <c r="B79" s="9" t="inlineStr">
        <is>
          <t>3</t>
        </is>
      </c>
      <c r="C79" s="9" t="inlineStr">
        <is>
          <t>https://www.uel.ac.uk/undergraduate/courses/beng-hons-civil-engineering</t>
        </is>
      </c>
      <c r="D79" s="9" t="inlineStr">
        <is>
          <t>2026-10-28</t>
        </is>
      </c>
      <c r="E79" s="9" t="inlineStr">
        <is>
          <t>scrapy</t>
        </is>
      </c>
      <c r="F79" s="9" t="inlineStr"/>
    </row>
    <row r="80" ht="36" customHeight="1">
      <c r="A80" s="9" t="inlineStr">
        <is>
          <t>beng-civil-engineering.indiaEntry.minPercent</t>
        </is>
      </c>
      <c r="B80" s="9" t="inlineStr">
        <is>
          <t>60</t>
        </is>
      </c>
      <c r="C80" s="9" t="inlineStr">
        <is>
          <t>https://www.uel.ac.uk/international/guidance-your-region/south-asia/india</t>
        </is>
      </c>
      <c r="D80" s="9" t="inlineStr">
        <is>
          <t>2026-10-28</t>
        </is>
      </c>
      <c r="E80" s="9" t="inlineStr">
        <is>
          <t>live-check</t>
        </is>
      </c>
      <c r="F80" s="9" t="inlineStr">
        <is>
          <t>India page, live-checked 2026-10-28: HSC / Standard 12 overall 60% (CBSE/CICSE and named state boards). Kerala State Board 65% in Year 12. All other boards 70%. Diploma 55% is a separate route, not used as the Class 12 threshold.</t>
        </is>
      </c>
    </row>
    <row r="81" ht="36" customHeight="1">
      <c r="A81" s="9" t="inlineStr">
        <is>
          <t>beng-mechanical-engineering.title</t>
        </is>
      </c>
      <c r="B81" s="9" t="inlineStr">
        <is>
          <t>Mechanical Engineering BEng (Hons)</t>
        </is>
      </c>
      <c r="C81" s="9" t="inlineStr">
        <is>
          <t>https://www.uel.ac.uk/undergraduate/courses/beng-hons-mechanical-engineering</t>
        </is>
      </c>
      <c r="D81" s="9" t="inlineStr">
        <is>
          <t>2026-10-28</t>
        </is>
      </c>
      <c r="E81" s="9" t="inlineStr">
        <is>
          <t>scrapy</t>
        </is>
      </c>
      <c r="F81" s="9" t="inlineStr"/>
    </row>
    <row r="82" ht="36" customHeight="1">
      <c r="A82" s="9" t="inlineStr">
        <is>
          <t>beng-mechanical-engineering.tuitionGbpYearOne</t>
        </is>
      </c>
      <c r="B82" s="9" t="inlineStr">
        <is>
          <t>16020</t>
        </is>
      </c>
      <c r="C82" s="9" t="inlineStr">
        <is>
          <t>https://www.uel.ac.uk/sites/default/files/uel-fees-schedule-2026-27.pdf</t>
        </is>
      </c>
      <c r="D82" s="9" t="inlineStr">
        <is>
          <t>2026-10-28</t>
        </is>
      </c>
      <c r="E82" s="9" t="inlineStr">
        <is>
          <t>live-check</t>
        </is>
      </c>
      <c r="F82" s="9" t="inlineStr">
        <is>
          <t>Course page international fee is TBC. Figure taken from UEL Fees Schedule 2026/27 international undergraduate headline £16,020 (all schools except listed nursing exceptions).</t>
        </is>
      </c>
    </row>
    <row r="83" ht="36" customHeight="1">
      <c r="A83" s="9" t="inlineStr">
        <is>
          <t>beng-mechanical-engineering.campus</t>
        </is>
      </c>
      <c r="B83" s="9" t="inlineStr">
        <is>
          <t>Docklands</t>
        </is>
      </c>
      <c r="C83" s="9" t="inlineStr">
        <is>
          <t>https://www.uel.ac.uk/undergraduate/courses/beng-hons-mechanical-engineering</t>
        </is>
      </c>
      <c r="D83" s="9" t="inlineStr">
        <is>
          <t>2026-10-28</t>
        </is>
      </c>
      <c r="E83" s="9" t="inlineStr">
        <is>
          <t>scrapy</t>
        </is>
      </c>
      <c r="F83" s="9" t="inlineStr">
        <is>
          <t>JSON-LD start dates on the course page are 2027 (and some 2026-09 / 2027-05 for PGT). Checked 2026-10-28, after the September 2026 teaching start. Fees still match the 2026/27 schedule.; Course page international fee is TBC. Figure taken from UEL Fees Schedule 2026/27 international undergraduate headline £16,020 (all schools except listed nursing exceptions).</t>
        </is>
      </c>
    </row>
    <row r="84" ht="36" customHeight="1">
      <c r="A84" s="9" t="inlineStr">
        <is>
          <t>beng-mechanical-engineering.startDates</t>
        </is>
      </c>
      <c r="B84" s="9" t="inlineStr">
        <is>
          <t>2027-09</t>
        </is>
      </c>
      <c r="C84" s="9" t="inlineStr">
        <is>
          <t>https://www.uel.ac.uk/undergraduate/courses/beng-hons-mechanical-engineering</t>
        </is>
      </c>
      <c r="D84" s="9" t="inlineStr">
        <is>
          <t>2026-10-28</t>
        </is>
      </c>
      <c r="E84" s="9" t="inlineStr">
        <is>
          <t>scrapy</t>
        </is>
      </c>
      <c r="F84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85" ht="36" customHeight="1">
      <c r="A85" s="9" t="inlineStr">
        <is>
          <t>beng-mechanical-engineering.durationYears</t>
        </is>
      </c>
      <c r="B85" s="9" t="inlineStr">
        <is>
          <t>3</t>
        </is>
      </c>
      <c r="C85" s="9" t="inlineStr">
        <is>
          <t>https://www.uel.ac.uk/undergraduate/courses/beng-hons-mechanical-engineering</t>
        </is>
      </c>
      <c r="D85" s="9" t="inlineStr">
        <is>
          <t>2026-10-28</t>
        </is>
      </c>
      <c r="E85" s="9" t="inlineStr">
        <is>
          <t>scrapy</t>
        </is>
      </c>
      <c r="F85" s="9" t="inlineStr"/>
    </row>
    <row r="86" ht="36" customHeight="1">
      <c r="A86" s="9" t="inlineStr">
        <is>
          <t>beng-mechanical-engineering.indiaEntry.minPercent</t>
        </is>
      </c>
      <c r="B86" s="9" t="inlineStr">
        <is>
          <t>60</t>
        </is>
      </c>
      <c r="C86" s="9" t="inlineStr">
        <is>
          <t>https://www.uel.ac.uk/international/guidance-your-region/south-asia/india</t>
        </is>
      </c>
      <c r="D86" s="9" t="inlineStr">
        <is>
          <t>2026-10-28</t>
        </is>
      </c>
      <c r="E86" s="9" t="inlineStr">
        <is>
          <t>live-check</t>
        </is>
      </c>
      <c r="F86" s="9" t="inlineStr">
        <is>
          <t>India page, live-checked 2026-10-28: HSC / Standard 12 overall 60% (CBSE/CICSE and named state boards). Kerala State Board 65% in Year 12. All other boards 70%. Diploma 55% is a separate route, not used as the Class 12 threshold.</t>
        </is>
      </c>
    </row>
    <row r="87" ht="36" customHeight="1">
      <c r="A87" s="9" t="inlineStr">
        <is>
          <t>bsc-psychology.title</t>
        </is>
      </c>
      <c r="B87" s="9" t="inlineStr">
        <is>
          <t>Psychology BSc (Hons)</t>
        </is>
      </c>
      <c r="C87" s="9" t="inlineStr">
        <is>
          <t>https://www.uel.ac.uk/undergraduate/courses/bsc-hons-psychology</t>
        </is>
      </c>
      <c r="D87" s="9" t="inlineStr">
        <is>
          <t>2026-10-28</t>
        </is>
      </c>
      <c r="E87" s="9" t="inlineStr">
        <is>
          <t>scrapy</t>
        </is>
      </c>
      <c r="F87" s="9" t="inlineStr"/>
    </row>
    <row r="88" ht="36" customHeight="1">
      <c r="A88" s="9" t="inlineStr">
        <is>
          <t>bsc-psychology.tuitionGbpYearOne</t>
        </is>
      </c>
      <c r="B88" s="9" t="inlineStr">
        <is>
          <t>16020</t>
        </is>
      </c>
      <c r="C88" s="9" t="inlineStr">
        <is>
          <t>https://www.uel.ac.uk/sites/default/files/uel-fees-schedule-2026-27.pdf</t>
        </is>
      </c>
      <c r="D88" s="9" t="inlineStr">
        <is>
          <t>2026-10-28</t>
        </is>
      </c>
      <c r="E88" s="9" t="inlineStr">
        <is>
          <t>live-check</t>
        </is>
      </c>
      <c r="F88" s="9" t="inlineStr">
        <is>
          <t>Course page international fee is TBC. Figure taken from UEL Fees Schedule 2026/27 international undergraduate headline £16,020 (all schools except listed nursing exceptions).</t>
        </is>
      </c>
    </row>
    <row r="89" ht="36" customHeight="1">
      <c r="A89" s="9" t="inlineStr">
        <is>
          <t>bsc-psychology.campus</t>
        </is>
      </c>
      <c r="B89" s="9" t="inlineStr">
        <is>
          <t>Stratford</t>
        </is>
      </c>
      <c r="C89" s="9" t="inlineStr">
        <is>
          <t>https://www.uel.ac.uk/undergraduate/courses/bsc-hons-psychology</t>
        </is>
      </c>
      <c r="D89" s="9" t="inlineStr">
        <is>
          <t>2026-10-28</t>
        </is>
      </c>
      <c r="E89" s="9" t="inlineStr">
        <is>
          <t>scrapy</t>
        </is>
      </c>
      <c r="F89" s="9" t="inlineStr">
        <is>
          <t>JSON-LD start dates on the course page are 2027 (and some 2026-09 / 2027-05 for PGT). Checked 2026-10-28, after the September 2026 teaching start. Fees still match the 2026/27 schedule.; Course page international fee is TBC. Figure taken from UEL Fees Schedule 2026/27 international undergraduate headline £16,020 (all schools except listed nursing exceptions).</t>
        </is>
      </c>
    </row>
    <row r="90" ht="36" customHeight="1">
      <c r="A90" s="9" t="inlineStr">
        <is>
          <t>bsc-psychology.startDates</t>
        </is>
      </c>
      <c r="B90" s="9" t="inlineStr">
        <is>
          <t>2027-09</t>
        </is>
      </c>
      <c r="C90" s="9" t="inlineStr">
        <is>
          <t>https://www.uel.ac.uk/undergraduate/courses/bsc-hons-psychology</t>
        </is>
      </c>
      <c r="D90" s="9" t="inlineStr">
        <is>
          <t>2026-10-28</t>
        </is>
      </c>
      <c r="E90" s="9" t="inlineStr">
        <is>
          <t>scrapy</t>
        </is>
      </c>
      <c r="F90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91" ht="36" customHeight="1">
      <c r="A91" s="9" t="inlineStr">
        <is>
          <t>bsc-psychology.durationYears</t>
        </is>
      </c>
      <c r="B91" s="9" t="inlineStr">
        <is>
          <t>3</t>
        </is>
      </c>
      <c r="C91" s="9" t="inlineStr">
        <is>
          <t>https://www.uel.ac.uk/undergraduate/courses/bsc-hons-psychology</t>
        </is>
      </c>
      <c r="D91" s="9" t="inlineStr">
        <is>
          <t>2026-10-28</t>
        </is>
      </c>
      <c r="E91" s="9" t="inlineStr">
        <is>
          <t>scrapy</t>
        </is>
      </c>
      <c r="F91" s="9" t="inlineStr"/>
    </row>
    <row r="92" ht="36" customHeight="1">
      <c r="A92" s="9" t="inlineStr">
        <is>
          <t>bsc-psychology.indiaEntry.minPercent</t>
        </is>
      </c>
      <c r="B92" s="9" t="inlineStr">
        <is>
          <t>60</t>
        </is>
      </c>
      <c r="C92" s="9" t="inlineStr">
        <is>
          <t>https://www.uel.ac.uk/international/guidance-your-region/south-asia/india</t>
        </is>
      </c>
      <c r="D92" s="9" t="inlineStr">
        <is>
          <t>2026-10-28</t>
        </is>
      </c>
      <c r="E92" s="9" t="inlineStr">
        <is>
          <t>live-check</t>
        </is>
      </c>
      <c r="F92" s="9" t="inlineStr">
        <is>
          <t>India page, live-checked 2026-10-28: HSC / Standard 12 overall 60% (CBSE/CICSE and named state boards). Kerala State Board 65% in Year 12. All other boards 70%. Diploma 55% is a separate route, not used as the Class 12 threshold.</t>
        </is>
      </c>
    </row>
    <row r="93" ht="36" customHeight="1">
      <c r="A93" s="9" t="inlineStr">
        <is>
          <t>llb-law.title</t>
        </is>
      </c>
      <c r="B93" s="9" t="inlineStr">
        <is>
          <t>Law LLB (Hons)</t>
        </is>
      </c>
      <c r="C93" s="9" t="inlineStr">
        <is>
          <t>https://www.uel.ac.uk/undergraduate/courses/llb-hons-law</t>
        </is>
      </c>
      <c r="D93" s="9" t="inlineStr">
        <is>
          <t>2026-10-28</t>
        </is>
      </c>
      <c r="E93" s="9" t="inlineStr">
        <is>
          <t>scrapy</t>
        </is>
      </c>
      <c r="F93" s="9" t="inlineStr"/>
    </row>
    <row r="94" ht="36" customHeight="1">
      <c r="A94" s="9" t="inlineStr">
        <is>
          <t>llb-law.tuitionGbpYearOne</t>
        </is>
      </c>
      <c r="B94" s="9" t="inlineStr">
        <is>
          <t>16020</t>
        </is>
      </c>
      <c r="C94" s="9" t="inlineStr">
        <is>
          <t>https://www.uel.ac.uk/undergraduate/courses/llb-hons-law</t>
        </is>
      </c>
      <c r="D94" s="9" t="inlineStr">
        <is>
          <t>2026-10-28</t>
        </is>
      </c>
      <c r="E94" s="9" t="inlineStr">
        <is>
          <t>scrapy</t>
        </is>
      </c>
      <c r="F94" s="9" t="inlineStr"/>
    </row>
    <row r="95" ht="36" customHeight="1">
      <c r="A95" s="9" t="inlineStr">
        <is>
          <t>llb-law.campus</t>
        </is>
      </c>
      <c r="B95" s="9" t="inlineStr">
        <is>
          <t>University Square Stratford</t>
        </is>
      </c>
      <c r="C95" s="9" t="inlineStr">
        <is>
          <t>https://www.uel.ac.uk/undergraduate/courses/llb-hons-law</t>
        </is>
      </c>
      <c r="D95" s="9" t="inlineStr">
        <is>
          <t>2026-10-28</t>
        </is>
      </c>
      <c r="E95" s="9" t="inlineStr">
        <is>
          <t>scrapy</t>
        </is>
      </c>
      <c r="F95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96" ht="36" customHeight="1">
      <c r="A96" s="9" t="inlineStr">
        <is>
          <t>llb-law.startDates</t>
        </is>
      </c>
      <c r="B96" s="9" t="inlineStr">
        <is>
          <t>2027-01,2027-09</t>
        </is>
      </c>
      <c r="C96" s="9" t="inlineStr">
        <is>
          <t>https://www.uel.ac.uk/undergraduate/courses/llb-hons-law</t>
        </is>
      </c>
      <c r="D96" s="9" t="inlineStr">
        <is>
          <t>2026-10-28</t>
        </is>
      </c>
      <c r="E96" s="9" t="inlineStr">
        <is>
          <t>scrapy</t>
        </is>
      </c>
      <c r="F96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97" ht="36" customHeight="1">
      <c r="A97" s="9" t="inlineStr">
        <is>
          <t>llb-law.durationYears</t>
        </is>
      </c>
      <c r="B97" s="9" t="inlineStr">
        <is>
          <t>3</t>
        </is>
      </c>
      <c r="C97" s="9" t="inlineStr">
        <is>
          <t>https://www.uel.ac.uk/undergraduate/courses/llb-hons-law</t>
        </is>
      </c>
      <c r="D97" s="9" t="inlineStr">
        <is>
          <t>2026-10-28</t>
        </is>
      </c>
      <c r="E97" s="9" t="inlineStr">
        <is>
          <t>scrapy</t>
        </is>
      </c>
      <c r="F97" s="9" t="inlineStr"/>
    </row>
    <row r="98" ht="36" customHeight="1">
      <c r="A98" s="9" t="inlineStr">
        <is>
          <t>llb-law.indiaEntry.minPercent</t>
        </is>
      </c>
      <c r="B98" s="9" t="inlineStr">
        <is>
          <t>60</t>
        </is>
      </c>
      <c r="C98" s="9" t="inlineStr">
        <is>
          <t>https://www.uel.ac.uk/international/guidance-your-region/south-asia/india</t>
        </is>
      </c>
      <c r="D98" s="9" t="inlineStr">
        <is>
          <t>2026-10-28</t>
        </is>
      </c>
      <c r="E98" s="9" t="inlineStr">
        <is>
          <t>live-check</t>
        </is>
      </c>
      <c r="F98" s="9" t="inlineStr">
        <is>
          <t>India page, live-checked 2026-10-28: HSC / Standard 12 overall 60% (CBSE/CICSE and named state boards). Kerala State Board 65% in Year 12. All other boards 70%. Diploma 55% is a separate route, not used as the Class 12 threshold.</t>
        </is>
      </c>
    </row>
    <row r="99" ht="36" customHeight="1">
      <c r="A99" s="9" t="inlineStr">
        <is>
          <t>scholarship.amountMinGbp</t>
        </is>
      </c>
      <c r="B99" s="9" t="inlineStr">
        <is>
          <t>500</t>
        </is>
      </c>
      <c r="C99" s="9" t="inlineStr">
        <is>
          <t>https://www.uel.ac.uk/study/fees-funding/international-fees-funding/international-scholarships</t>
        </is>
      </c>
      <c r="D99" s="9" t="inlineStr">
        <is>
          <t>2026-10-28</t>
        </is>
      </c>
      <c r="E99" s="9" t="inlineStr">
        <is>
          <t>live-check</t>
        </is>
      </c>
      <c r="F99" s="9" t="inlineStr"/>
    </row>
    <row r="100" ht="36" customHeight="1">
      <c r="A100" s="9" t="inlineStr">
        <is>
          <t>scholarship.amountMaxGbp</t>
        </is>
      </c>
      <c r="B100" s="9" t="inlineStr">
        <is>
          <t>5000</t>
        </is>
      </c>
      <c r="C100" s="9" t="inlineStr">
        <is>
          <t>https://www.uel.ac.uk/study/fees-funding/international-fees-funding/international-scholarships</t>
        </is>
      </c>
      <c r="D100" s="9" t="inlineStr">
        <is>
          <t>2026-10-28</t>
        </is>
      </c>
      <c r="E100" s="9" t="inlineStr">
        <is>
          <t>live-check</t>
        </is>
      </c>
      <c r="F100" s="9" t="inlineStr"/>
    </row>
    <row r="101" ht="36" customHeight="1">
      <c r="A101" s="9" t="inlineStr">
        <is>
          <t>scholarship.appliesTo</t>
        </is>
      </c>
      <c r="B101" s="9" t="inlineStr">
        <is>
          <t>first-year-tuition</t>
        </is>
      </c>
      <c r="C101" s="9" t="inlineStr">
        <is>
          <t>https://www.uel.ac.uk/study/fees-funding/international-fees-funding/international-scholarships</t>
        </is>
      </c>
      <c r="D101" s="9" t="inlineStr">
        <is>
          <t>2026-10-28</t>
        </is>
      </c>
      <c r="E101" s="9" t="inlineStr">
        <is>
          <t>live-check</t>
        </is>
      </c>
      <c r="F101" s="9" t="inlineStr"/>
    </row>
    <row r="102" ht="36" customHeight="1">
      <c r="A102" s="9" t="inlineStr">
        <is>
          <t>scholarship.autoAssessed</t>
        </is>
      </c>
      <c r="B102" s="9" t="inlineStr">
        <is>
          <t>true</t>
        </is>
      </c>
      <c r="C102" s="9" t="inlineStr">
        <is>
          <t>https://www.uel.ac.uk/study/fees-funding/international-fees-funding/international-scholarships</t>
        </is>
      </c>
      <c r="D102" s="9" t="inlineStr">
        <is>
          <t>2026-10-28</t>
        </is>
      </c>
      <c r="E102" s="9" t="inlineStr">
        <is>
          <t>live-check</t>
        </is>
      </c>
      <c r="F102" s="9" t="inlineStr">
        <is>
          <t>No separate application. Shown in the offer letter.</t>
        </is>
      </c>
    </row>
    <row r="103" ht="36" customHeight="1">
      <c r="A103" s="9" t="inlineStr">
        <is>
          <t>scholarship.exclusions</t>
        </is>
      </c>
      <c r="B103" s="9" t="inlineStr">
        <is>
          <t>Short courses / exchange; franchised; Pre-Masters; International Foundation; pre-sessional English</t>
        </is>
      </c>
      <c r="C103" s="9" t="inlineStr">
        <is>
          <t>https://www.uel.ac.uk/study/fees-funding/international-fees-funding/international-scholarships</t>
        </is>
      </c>
      <c r="D103" s="9" t="inlineStr">
        <is>
          <t>2026-10-28</t>
        </is>
      </c>
      <c r="E103" s="9" t="inlineStr">
        <is>
          <t>live-check</t>
        </is>
      </c>
      <c r="F103" s="9" t="inlineStr"/>
    </row>
    <row r="104" ht="36" customHeight="1">
      <c r="A104" s="9" t="inlineStr">
        <is>
          <t>costs.depositGbp</t>
        </is>
      </c>
      <c r="B104" s="9" t="inlineStr">
        <is>
          <t>1500</t>
        </is>
      </c>
      <c r="C104" s="9" t="inlineStr">
        <is>
          <t>https://www.uel.ac.uk/study/fees-funding/paying-your-fees-international-students</t>
        </is>
      </c>
      <c r="D104" s="9" t="inlineStr">
        <is>
          <t>2026-10-28</t>
        </is>
      </c>
      <c r="E104" s="9" t="inlineStr">
        <is>
          <t>live-check</t>
        </is>
      </c>
      <c r="F104" s="9" t="inlineStr">
        <is>
          <t>£1,500 starts pre-CAS; full deposit is in the offer letter.</t>
        </is>
      </c>
    </row>
    <row r="105" ht="36" customHeight="1">
      <c r="A105" s="9" t="inlineStr">
        <is>
          <t>costs.accommodationGbp</t>
        </is>
      </c>
      <c r="B105" s="9" t="inlineStr">
        <is>
          <t>8010</t>
        </is>
      </c>
      <c r="C105" s="9" t="inlineStr">
        <is>
          <t>https://www.uel.ac.uk/study/accommodation/room-types-prices-payment-plans</t>
        </is>
      </c>
      <c r="D105" s="9" t="inlineStr">
        <is>
          <t>2026-10-28</t>
        </is>
      </c>
      <c r="E105" s="9" t="inlineStr">
        <is>
          <t>live-check</t>
        </is>
      </c>
      <c r="F105" s="9" t="inlineStr">
        <is>
          <t>East standard full academic year 2026/27. Intro/FAQ says from £189/week; West standard table shows £182/week.</t>
        </is>
      </c>
    </row>
    <row r="106" ht="36" customHeight="1">
      <c r="A106" s="9" t="inlineStr">
        <is>
          <t>costs.accommodationDepositGbp</t>
        </is>
      </c>
      <c r="B106" s="9" t="inlineStr">
        <is>
          <t>250</t>
        </is>
      </c>
      <c r="C106" s="9" t="inlineStr">
        <is>
          <t>https://www.uel.ac.uk/study/accommodation/how-apply-student-accommodation-uel-202627</t>
        </is>
      </c>
      <c r="D106" s="9" t="inlineStr">
        <is>
          <t>2026-10-28</t>
        </is>
      </c>
      <c r="E106" s="9" t="inlineStr">
        <is>
          <t>scrapy</t>
        </is>
      </c>
      <c r="F106" s="9" t="inlineStr">
        <is>
          <t>Refundable halls security deposit.</t>
        </is>
      </c>
    </row>
    <row r="107" ht="36" customHeight="1">
      <c r="A107" s="9" t="inlineStr">
        <is>
          <t>costs.londonLivingGbp</t>
        </is>
      </c>
      <c r="B107" s="9" t="inlineStr">
        <is>
          <t>13761</t>
        </is>
      </c>
      <c r="C107" s="9" t="inlineStr">
        <is>
          <t>https://www.gov.uk/student-visa/money</t>
        </is>
      </c>
      <c r="D107" s="9" t="inlineStr">
        <is>
          <t>2026-10-30</t>
        </is>
      </c>
      <c r="E107" s="9" t="inlineStr">
        <is>
          <t>govuk-spot-check</t>
        </is>
      </c>
      <c r="F107" s="9" t="inlineStr">
        <is>
          <t>GOV.UK London financial requirement £1,529/month × 9 months. Visa maintenance figure, not a personal spend forecast. Do not add typical UEL room on top of this as a second rent.</t>
        </is>
      </c>
    </row>
    <row r="108" ht="36" customHeight="1">
      <c r="A108" s="9" t="inlineStr">
        <is>
          <t>costs.visaGbp</t>
        </is>
      </c>
      <c r="B108" s="9" t="inlineStr">
        <is>
          <t>558</t>
        </is>
      </c>
      <c r="C108" s="9" t="inlineStr">
        <is>
          <t>https://www.gov.uk/student-visa</t>
        </is>
      </c>
      <c r="D108" s="9" t="inlineStr">
        <is>
          <t>2026-10-30</t>
        </is>
      </c>
      <c r="E108" s="9" t="inlineStr">
        <is>
          <t>govuk-spot-check</t>
        </is>
      </c>
      <c r="F108" s="9" t="inlineStr">
        <is>
          <t>Student visa from outside the UK.</t>
        </is>
      </c>
    </row>
    <row r="109" ht="36" customHeight="1">
      <c r="A109" s="9" t="inlineStr">
        <is>
          <t>costs.ihsGbp</t>
        </is>
      </c>
      <c r="B109" s="9" t="inlineStr">
        <is>
          <t>776</t>
        </is>
      </c>
      <c r="C109" s="9" t="inlineStr">
        <is>
          <t>https://www.gov.uk/healthcare-immigration-application/how-much-pay</t>
        </is>
      </c>
      <c r="D109" s="9" t="inlineStr">
        <is>
          <t>2026-10-30</t>
        </is>
      </c>
      <c r="E109" s="9" t="inlineStr">
        <is>
          <t>govuk-spot-check</t>
        </is>
      </c>
      <c r="F109" s="9" t="inlineStr">
        <is>
          <t>Student IHS rate per year. A longer visa costs more; year-one stack uses one year.</t>
        </is>
      </c>
    </row>
    <row r="110" ht="36" customHeight="1">
      <c r="A110" s="9" t="inlineStr">
        <is>
          <t>costs.flightsGbp</t>
        </is>
      </c>
      <c r="B110" s="9" t="inlineStr">
        <is>
          <t>PLACEHOLDER</t>
        </is>
      </c>
      <c r="C110" s="9" t="inlineStr">
        <is>
          <t>PLACEHOLDER</t>
        </is>
      </c>
      <c r="D110" s="9" t="inlineStr">
        <is>
          <t>2026-10-28</t>
        </is>
      </c>
      <c r="E110" s="9" t="inlineStr">
        <is>
          <t>scrapy</t>
        </is>
      </c>
      <c r="F110" s="9" t="inlineStr">
        <is>
          <t>Not sourced. Do not invent a fare.</t>
        </is>
      </c>
    </row>
    <row r="111" ht="36" customHeight="1">
      <c r="A111" s="9" t="inlineStr">
        <is>
          <t>costs.inrPerGbp</t>
        </is>
      </c>
      <c r="B111" s="9" t="inlineStr">
        <is>
          <t>126.4657</t>
        </is>
      </c>
      <c r="C111" s="9" t="inlineStr">
        <is>
          <t>https://www.rbi.org.in/</t>
        </is>
      </c>
      <c r="D111" s="9" t="inlineStr">
        <is>
          <t>2026-10-28</t>
        </is>
      </c>
      <c r="E111" s="9" t="inlineStr">
        <is>
          <t>rbi</t>
        </is>
      </c>
      <c r="F111" s="9" t="inlineStr">
        <is>
          <t>As at 1.00pm 28 Oct 2026. Source FBIL, displayed on RBI homepage.</t>
        </is>
      </c>
    </row>
    <row r="112" ht="36" customHeight="1">
      <c r="A112" s="9" t="inlineStr">
        <is>
          <t>ug.internationalHeadlineGbp</t>
        </is>
      </c>
      <c r="B112" s="9" t="inlineStr">
        <is>
          <t>16020</t>
        </is>
      </c>
      <c r="C112" s="9" t="inlineStr">
        <is>
          <t>https://www.uel.ac.uk/sites/default/files/uel-fees-schedule-2026-27.pdf</t>
        </is>
      </c>
      <c r="D112" s="9" t="inlineStr">
        <is>
          <t>2026-10-28</t>
        </is>
      </c>
      <c r="E112" s="9" t="inlineStr">
        <is>
          <t>live-check</t>
        </is>
      </c>
      <c r="F112" s="9" t="inlineStr">
        <is>
          <t>2026/27 international UG headline, all schools except listed nursing exceptions.</t>
        </is>
      </c>
    </row>
    <row r="113" ht="36" customHeight="1">
      <c r="A113" s="9" t="inlineStr">
        <is>
          <t>mba.internationalGbp</t>
        </is>
      </c>
      <c r="B113" s="9" t="inlineStr">
        <is>
          <t>19500</t>
        </is>
      </c>
      <c r="C113" s="9" t="inlineStr">
        <is>
          <t>https://www.uel.ac.uk/study/fees-funding/international-fees-funding</t>
        </is>
      </c>
      <c r="D113" s="9" t="inlineStr">
        <is>
          <t>2026-10-28</t>
        </is>
      </c>
      <c r="E113" s="9" t="inlineStr">
        <is>
          <t>live-check</t>
        </is>
      </c>
      <c r="F113" s="9" t="inlineStr">
        <is>
          <t>International fees page and MBA course page agree.</t>
        </is>
      </c>
    </row>
  </sheetData>
  <autoFilter ref="A1:F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70" customWidth="1" min="3" max="3"/>
    <col width="14" customWidth="1" min="4" max="4"/>
    <col width="18" customWidth="1" min="5" max="5"/>
  </cols>
  <sheetData>
    <row r="1" ht="22" customHeight="1">
      <c r="A1" s="8" t="inlineStr">
        <is>
          <t>fact</t>
        </is>
      </c>
      <c r="B1" s="8" t="inlineStr">
        <is>
          <t>valueGbp</t>
        </is>
      </c>
      <c r="C1" s="8" t="inlineStr">
        <is>
          <t>url</t>
        </is>
      </c>
      <c r="D1" s="8" t="inlineStr">
        <is>
          <t>checkedOn</t>
        </is>
      </c>
      <c r="E1" s="8" t="inlineStr">
        <is>
          <t>who</t>
        </is>
      </c>
    </row>
    <row r="2" ht="36" customHeight="1">
      <c r="A2" s="9" t="inlineStr">
        <is>
          <t>Student visa fee (from outside the UK)</t>
        </is>
      </c>
      <c r="B2" s="10" t="n">
        <v>558</v>
      </c>
      <c r="C2" s="9" t="inlineStr">
        <is>
          <t>https://www.gov.uk/student-visa</t>
        </is>
      </c>
      <c r="D2" s="9" t="inlineStr">
        <is>
          <t>2026-10-30</t>
        </is>
      </c>
      <c r="E2" s="9" t="inlineStr">
        <is>
          <t>govuk-spot-check</t>
        </is>
      </c>
    </row>
    <row r="3" ht="36" customHeight="1">
      <c r="A3" s="9" t="inlineStr">
        <is>
          <t>Immigration Health Surcharge (student rate, one year)</t>
        </is>
      </c>
      <c r="B3" s="10" t="n">
        <v>776</v>
      </c>
      <c r="C3" s="9" t="inlineStr">
        <is>
          <t>https://www.gov.uk/healthcare-immigration-application/how-much-pay</t>
        </is>
      </c>
      <c r="D3" s="9" t="inlineStr">
        <is>
          <t>2026-10-30</t>
        </is>
      </c>
      <c r="E3" s="9" t="inlineStr">
        <is>
          <t>govuk-spot-check</t>
        </is>
      </c>
    </row>
    <row r="4" ht="36" customHeight="1">
      <c r="A4" s="9" t="inlineStr">
        <is>
          <t>London living / maintenance (visa financial requirement, 9 months)</t>
        </is>
      </c>
      <c r="B4" s="10" t="n">
        <v>13761</v>
      </c>
      <c r="C4" s="9" t="inlineStr">
        <is>
          <t>https://www.gov.uk/student-visa/money</t>
        </is>
      </c>
      <c r="D4" s="9" t="inlineStr">
        <is>
          <t>2026-10-30</t>
        </is>
      </c>
      <c r="E4" s="9" t="inlineStr">
        <is>
          <t>govuk-spot-check</t>
        </is>
      </c>
    </row>
    <row r="5" ht="36" customHeight="1">
      <c r="A5" s="9" t="n"/>
      <c r="B5" s="9" t="n"/>
      <c r="C5" s="9" t="n"/>
      <c r="D5" s="9" t="n"/>
      <c r="E5" s="9" t="n"/>
    </row>
    <row r="6" ht="36" customHeight="1">
      <c r="A6" s="9" t="inlineStr">
        <is>
          <t>Living is the GOV.UK visa financial requirement, not a personal spend forecast. Do not add UEL halls on top of it as a second rent. Flights stay PLACEHOLDER.</t>
        </is>
      </c>
      <c r="B6" s="9" t="n"/>
      <c r="C6" s="9" t="n"/>
      <c r="D6" s="9" t="n"/>
      <c r="E6" s="9" t="n"/>
    </row>
    <row r="7" ht="36" customHeight="1">
      <c r="A7" s="9" t="n"/>
      <c r="B7" s="9" t="n"/>
      <c r="C7" s="9" t="n"/>
      <c r="D7" s="9" t="n"/>
      <c r="E7" s="9" t="n"/>
    </row>
  </sheetData>
  <autoFilter ref="A1:E7"/>
  <mergeCells count="1">
    <mergeCell ref="A6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 ht="22" customHeight="1">
      <c r="A1" s="8" t="inlineStr">
        <is>
          <t>courseOrTopic</t>
        </is>
      </c>
      <c r="B1" s="8" t="inlineStr">
        <is>
          <t>issue</t>
        </is>
      </c>
    </row>
    <row r="2" ht="36" customHeight="1">
      <c r="A2" s="9" t="inlineStr">
        <is>
          <t>bsc-business-management</t>
        </is>
      </c>
      <c r="B2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3" ht="36" customHeight="1">
      <c r="A3" s="9" t="inlineStr">
        <is>
          <t>bsc-marketing</t>
        </is>
      </c>
      <c r="B3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4" ht="36" customHeight="1">
      <c r="A4" s="9" t="inlineStr">
        <is>
          <t>bsc-accounting-finance</t>
        </is>
      </c>
      <c r="B4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5" ht="36" customHeight="1">
      <c r="A5" s="9" t="inlineStr">
        <is>
          <t>bsc-accounting-business-management</t>
        </is>
      </c>
      <c r="B5" s="9" t="inlineStr">
        <is>
          <t>Swapped in for International Business UG: UEL publishes International Business Management as a one-year top-up, not a full bachelor's.</t>
        </is>
      </c>
    </row>
    <row r="6" ht="36" customHeight="1">
      <c r="A6" s="9" t="inlineStr">
        <is>
          <t>bsc-accounting-business-management</t>
        </is>
      </c>
      <c r="B6" s="9" t="inlineStr">
        <is>
          <t>Course page international fee is TBC. Figure taken from UEL Fees Schedule 2026/27 international undergraduate headline £16,020 (all schools except listed nursing exceptions).</t>
        </is>
      </c>
    </row>
    <row r="7" ht="36" customHeight="1">
      <c r="A7" s="9" t="inlineStr">
        <is>
          <t>bsc-accounting-business-management</t>
        </is>
      </c>
      <c r="B7" s="9" t="inlineStr">
        <is>
          <t>JSON-LD on this page did not list international start dates. Not invented.</t>
        </is>
      </c>
    </row>
    <row r="8" ht="36" customHeight="1">
      <c r="A8" s="9" t="inlineStr">
        <is>
          <t>bsc-business-economics</t>
        </is>
      </c>
      <c r="B8" s="9" t="inlineStr">
        <is>
          <t>Course page international fee is TBC. Figure taken from UEL Fees Schedule 2026/27 international undergraduate headline £16,020 (all schools except listed nursing exceptions).</t>
        </is>
      </c>
    </row>
    <row r="9" ht="36" customHeight="1">
      <c r="A9" s="9" t="inlineStr">
        <is>
          <t>bsc-business-economics</t>
        </is>
      </c>
      <c r="B9" s="9" t="inlineStr">
        <is>
          <t>JSON-LD on this page did not list international start dates. Not invented.</t>
        </is>
      </c>
    </row>
    <row r="10" ht="36" customHeight="1">
      <c r="A10" s="9" t="inlineStr">
        <is>
          <t>msc-international-business-management</t>
        </is>
      </c>
      <c r="B10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1" ht="36" customHeight="1">
      <c r="A11" s="9" t="inlineStr">
        <is>
          <t>msc-international-business-management</t>
        </is>
      </c>
      <c r="B11" s="9" t="inlineStr">
        <is>
          <t>Campus section describes both Docklands and University Square Stratford. USS is stored as the RDSBL/MBA campus named on the page; Docklands is also mentioned.</t>
        </is>
      </c>
    </row>
    <row r="12" ht="36" customHeight="1">
      <c r="A12" s="9" t="inlineStr">
        <is>
          <t>msc-marketing</t>
        </is>
      </c>
      <c r="B12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3" ht="36" customHeight="1">
      <c r="A13" s="9" t="inlineStr">
        <is>
          <t>mba</t>
        </is>
      </c>
      <c r="B13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4" ht="36" customHeight="1">
      <c r="A14" s="9" t="inlineStr">
        <is>
          <t>mba</t>
        </is>
      </c>
      <c r="B14" s="9" t="inlineStr">
        <is>
          <t>Page says USS is the base for the MBA and also describes an MBA suite at Docklands. Stored campus is University Square Stratford.</t>
        </is>
      </c>
    </row>
    <row r="15" ht="36" customHeight="1">
      <c r="A15" s="9" t="inlineStr">
        <is>
          <t>msc-human-resource-management</t>
        </is>
      </c>
      <c r="B15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6" ht="36" customHeight="1">
      <c r="A16" s="9" t="inlineStr">
        <is>
          <t>bsc-computer-science</t>
        </is>
      </c>
      <c r="B16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7" ht="36" customHeight="1">
      <c r="A17" s="9" t="inlineStr">
        <is>
          <t>msc-computer-science</t>
        </is>
      </c>
      <c r="B17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8" ht="36" customHeight="1">
      <c r="A18" s="9" t="inlineStr">
        <is>
          <t>msc-data-science</t>
        </is>
      </c>
      <c r="B18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9" ht="36" customHeight="1">
      <c r="A19" s="9" t="inlineStr">
        <is>
          <t>msc-data-science</t>
        </is>
      </c>
      <c r="B19" s="9" t="inlineStr">
        <is>
          <t>Any-subject 2:2 on this MSc is different from Computer Science MSc, which asks for a computing degree.</t>
        </is>
      </c>
    </row>
    <row r="20" ht="36" customHeight="1">
      <c r="A20" s="9" t="inlineStr">
        <is>
          <t>beng-civil-engineering</t>
        </is>
      </c>
      <c r="B20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21" ht="36" customHeight="1">
      <c r="A21" s="9" t="inlineStr">
        <is>
          <t>beng-mechanical-engineering</t>
        </is>
      </c>
      <c r="B21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22" ht="36" customHeight="1">
      <c r="A22" s="9" t="inlineStr">
        <is>
          <t>beng-mechanical-engineering</t>
        </is>
      </c>
      <c r="B22" s="9" t="inlineStr">
        <is>
          <t>Course page international fee is TBC. Figure taken from UEL Fees Schedule 2026/27 international undergraduate headline £16,020 (all schools except listed nursing exceptions).</t>
        </is>
      </c>
    </row>
    <row r="23" ht="36" customHeight="1">
      <c r="A23" s="9" t="inlineStr">
        <is>
          <t>bsc-psychology</t>
        </is>
      </c>
      <c r="B23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24" ht="36" customHeight="1">
      <c r="A24" s="9" t="inlineStr">
        <is>
          <t>bsc-psychology</t>
        </is>
      </c>
      <c r="B24" s="9" t="inlineStr">
        <is>
          <t>Course page international fee is TBC. Figure taken from UEL Fees Schedule 2026/27 international undergraduate headline £16,020 (all schools except listed nursing exceptions).</t>
        </is>
      </c>
    </row>
    <row r="25" ht="36" customHeight="1">
      <c r="A25" s="9" t="inlineStr">
        <is>
          <t>llb-law</t>
        </is>
      </c>
      <c r="B25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26" ht="36" customHeight="1">
      <c r="A26" s="9" t="inlineStr">
        <is>
          <t>accommodation</t>
        </is>
      </c>
      <c r="B26" s="9" t="inlineStr">
        <is>
          <t>Intro/FAQ from £189/week vs West standard table £182/week.</t>
        </is>
      </c>
    </row>
    <row r="27" ht="36" customHeight="1">
      <c r="A27" s="9" t="inlineStr">
        <is>
          <t>india-page</t>
        </is>
      </c>
      <c r="B27" s="9" t="inlineStr">
        <is>
          <t>Staff bio contained stray copy (“this is mine”) on the live page. Not used as a fact.</t>
        </is>
      </c>
    </row>
    <row r="28" ht="36" customHeight="1">
      <c r="A28" s="9" t="inlineStr">
        <is>
          <t>flights</t>
        </is>
      </c>
      <c r="B28" s="9" t="inlineStr">
        <is>
          <t>India → London fare not sourced.</t>
        </is>
      </c>
    </row>
  </sheetData>
  <autoFilter ref="A1:B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2026-10-29T20:05:01Z</dcterms:created>
  <dcterms:modified xmlns:dcterms="http://purl.org/dc/terms/" xmlns:xsi="http://www.w3.org/2001/XMLSchema-instance" xsi:type="dcterms:W3CDTF">2026-10-29T20:05:01Z</dcterms:modified>
</cp:coreProperties>
</file>